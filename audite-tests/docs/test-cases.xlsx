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mbert/quickorder-qa-project/audite-tests/docs/"/>
    </mc:Choice>
  </mc:AlternateContent>
  <xr:revisionPtr revIDLastSave="0" documentId="13_ncr:1_{40035440-E85F-F14A-88E1-927FB5E16D58}" xr6:coauthVersionLast="47" xr6:coauthVersionMax="47" xr10:uidLastSave="{00000000-0000-0000-0000-000000000000}"/>
  <bookViews>
    <workbookView xWindow="0" yWindow="660" windowWidth="30240" windowHeight="17900" activeTab="2" xr2:uid="{65F45F07-3C70-544A-BE6B-C5D14D63F331}"/>
  </bookViews>
  <sheets>
    <sheet name="Résumée" sheetId="4" r:id="rId1"/>
    <sheet name="Cas de test" sheetId="1" r:id="rId2"/>
    <sheet name="Anomalies" sheetId="2" r:id="rId3"/>
    <sheet name="Matrice de traçabilité" sheetId="3" r:id="rId4"/>
  </sheets>
  <definedNames>
    <definedName name="_xlnm.Print_Titles" localSheetId="1">'Cas de test'!$1:$1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C27" i="4"/>
  <c r="D27" i="4"/>
  <c r="E27" i="4"/>
  <c r="F27" i="4"/>
  <c r="B26" i="4"/>
  <c r="C26" i="4"/>
  <c r="D26" i="4"/>
  <c r="E26" i="4"/>
  <c r="F26" i="4"/>
  <c r="G26" i="4" s="1"/>
  <c r="B25" i="4"/>
  <c r="B28" i="4" s="1"/>
  <c r="C25" i="4"/>
  <c r="C28" i="4" s="1"/>
  <c r="D25" i="4"/>
  <c r="D28" i="4" s="1"/>
  <c r="E25" i="4"/>
  <c r="E28" i="4" s="1"/>
  <c r="F25" i="4"/>
  <c r="B20" i="4"/>
  <c r="C20" i="4"/>
  <c r="D20" i="4"/>
  <c r="E20" i="4"/>
  <c r="F20" i="4"/>
  <c r="B19" i="4"/>
  <c r="C19" i="4"/>
  <c r="D19" i="4"/>
  <c r="E19" i="4"/>
  <c r="F19" i="4"/>
  <c r="B18" i="4"/>
  <c r="C18" i="4"/>
  <c r="D18" i="4"/>
  <c r="E18" i="4"/>
  <c r="F18" i="4"/>
  <c r="G18" i="4" s="1"/>
  <c r="B17" i="4"/>
  <c r="B21" i="4" s="1"/>
  <c r="C17" i="4"/>
  <c r="C21" i="4" s="1"/>
  <c r="D17" i="4"/>
  <c r="D21" i="4" s="1"/>
  <c r="E17" i="4"/>
  <c r="E21" i="4" s="1"/>
  <c r="F17" i="4"/>
  <c r="B8" i="4"/>
  <c r="B9" i="4"/>
  <c r="B13" i="4" s="1"/>
  <c r="B10" i="4"/>
  <c r="B11" i="4"/>
  <c r="B12" i="4"/>
  <c r="E2" i="3" a="1"/>
  <c r="E2" i="3" s="1"/>
  <c r="E3" i="3" a="1"/>
  <c r="E3" i="3"/>
  <c r="E4" i="3" a="1"/>
  <c r="E4" i="3" s="1"/>
  <c r="E5" i="3" a="1"/>
  <c r="E5" i="3" s="1"/>
  <c r="E6" i="3" a="1"/>
  <c r="E6" i="3" s="1"/>
  <c r="E7" i="3" a="1"/>
  <c r="E7" i="3"/>
  <c r="E8" i="3" a="1"/>
  <c r="E8" i="3" s="1"/>
  <c r="E9" i="3" a="1"/>
  <c r="E9" i="3" s="1"/>
  <c r="E10" i="3" a="1"/>
  <c r="E10" i="3" s="1"/>
  <c r="E11" i="3" a="1"/>
  <c r="E11" i="3" s="1"/>
  <c r="E12" i="3" a="1"/>
  <c r="E12" i="3" s="1"/>
  <c r="E13" i="3" a="1"/>
  <c r="E13" i="3" s="1"/>
  <c r="E14" i="3" a="1"/>
  <c r="E14" i="3" s="1"/>
  <c r="E15" i="3" a="1"/>
  <c r="E15" i="3" s="1"/>
  <c r="E16" i="3" a="1"/>
  <c r="E16" i="3" s="1"/>
  <c r="E17" i="3" a="1"/>
  <c r="E17" i="3" s="1"/>
  <c r="E18" i="3" a="1"/>
  <c r="E18" i="3" s="1"/>
  <c r="E19" i="3" a="1"/>
  <c r="E19" i="3" s="1"/>
  <c r="D2" i="3" a="1"/>
  <c r="D2" i="3" s="1"/>
  <c r="D3" i="3" a="1"/>
  <c r="D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E16" i="2"/>
  <c r="E14" i="2"/>
  <c r="E15" i="2"/>
  <c r="B17" i="2"/>
  <c r="B14" i="2"/>
  <c r="B15" i="2"/>
  <c r="B16" i="2"/>
  <c r="F2" i="2"/>
  <c r="F3" i="2"/>
  <c r="F4" i="2"/>
  <c r="F5" i="2"/>
  <c r="F6" i="2"/>
  <c r="F7" i="2"/>
  <c r="F8" i="2"/>
  <c r="F9" i="2"/>
  <c r="F10" i="2"/>
  <c r="G17" i="4" l="1"/>
  <c r="G25" i="4"/>
  <c r="F28" i="4"/>
  <c r="G28" i="4" s="1"/>
  <c r="G19" i="4"/>
  <c r="G20" i="4"/>
  <c r="G27" i="4"/>
  <c r="F21" i="4"/>
  <c r="G2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<sst xmlns="http://schemas.openxmlformats.org/spreadsheetml/2006/main" count="497" uniqueCount="321">
  <si>
    <t>ID</t>
  </si>
  <si>
    <t>Type</t>
  </si>
  <si>
    <t>Priorité</t>
  </si>
  <si>
    <t>Titre</t>
  </si>
  <si>
    <t>Objectif</t>
  </si>
  <si>
    <t>Préconditions</t>
  </si>
  <si>
    <t>Données</t>
  </si>
  <si>
    <t>Étapes</t>
  </si>
  <si>
    <t>Résultat attendu</t>
  </si>
  <si>
    <t>Résultat obtenu</t>
  </si>
  <si>
    <t>Statut</t>
  </si>
  <si>
    <t>Bug lié</t>
  </si>
  <si>
    <t>Preuve</t>
  </si>
  <si>
    <t>TC-01</t>
  </si>
  <si>
    <t>Nominal</t>
  </si>
  <si>
    <t>Haute</t>
  </si>
  <si>
    <t>Connexion d'un client avec identifiants valides</t>
  </si>
  <si>
    <t>Vérifier l'authentification d'un client existant.</t>
  </si>
  <si>
    <t>Compte alice@example.com existant.</t>
  </si>
  <si>
    <t>alice@example.com / Password123!</t>
  </si>
  <si>
    <t>1. Ouvrir /login
2. Saisir email et mot de passe
3. Valider</t>
  </si>
  <si>
    <t>Redirection vers l'accueil ; le nom « Alice Martin » et le lien « Déconnexion » apparaissent.</t>
  </si>
  <si>
    <t>Connexion : HTTP 302 vers l'accueil. La page affiche « Alice Martin » et le lien « Déconnexion ».</t>
  </si>
  <si>
    <t>Pass</t>
  </si>
  <si>
    <t/>
  </si>
  <si>
    <t>evidence/png/TC-01-1-formulaire.png
evidence/png/TC-01-2-connecte.png</t>
  </si>
  <si>
    <t>TC-02</t>
  </si>
  <si>
    <t>Ajout de produits au panier et calcul des totaux</t>
  </si>
  <si>
    <t>Vérifier l'ajout au panier et le calcul sous-total / livraison / total.</t>
  </si>
  <si>
    <t>Client connecté, panier vide.</t>
  </si>
  <si>
    <t>Burger Factory : Classic Burger ×2 (11,90 €), Frites maison ×1 (3,50 €) ; livraison 2,99 €</t>
  </si>
  <si>
    <t>1. Ouvrir le menu Burger Factory
2. Ajouter Classic Burger qté 2
3. Ajouter Frites qté 1
4. Ouvrir /cart</t>
  </si>
  <si>
    <t>Sous-total 27,30 € ; livraison 2,99 € ; total 30,29 €.</t>
  </si>
  <si>
    <t>Panier : sous-total 27,30 €, livraison 2,99 €, total 30,29 €.</t>
  </si>
  <si>
    <t>evidence/png/TC-02-panier.png</t>
  </si>
  <si>
    <t>TC-03</t>
  </si>
  <si>
    <t>Commande par carte avec coupon WELCOME10</t>
  </si>
  <si>
    <t>Vérifier le parcours de commande complet par carte avec un coupon valide.</t>
  </si>
  <si>
    <t>Client connecté avec adresse ; panier Burger Factory de 27,30 €.</t>
  </si>
  <si>
    <t>Coupon WELCOME10 (-10 %, min 20 €, plafond 8 €) ; paiement carte</t>
  </si>
  <si>
    <t>1. Remplir le panier (TC-02)
2. Ouvrir /checkout
3. Saisir WELCOME10
4. Choisir Carte
5. Confirmer</t>
  </si>
  <si>
    <t>Commande créée au statut confirmed, paiement paid ; réduction 2,73 € ; total 27,56 €.</t>
  </si>
  <si>
    <t>Commande #2 créée : statut confirmed, paiement paid / card, réduction 2,73 €, total 27,56 €.</t>
  </si>
  <si>
    <t>evidence/png/TC-03-1-checkout.png
evidence/png/TC-03-2-commande.png</t>
  </si>
  <si>
    <t>TC-04</t>
  </si>
  <si>
    <t>Annulation d'une commande confirmée</t>
  </si>
  <si>
    <t>Vérifier qu'un client peut annuler sa commande tant qu'elle est confirmée.</t>
  </si>
  <si>
    <t>Client connecté ; une commande au statut confirmed.</t>
  </si>
  <si>
    <t>Commande créée en préparation du test</t>
  </si>
  <si>
    <t>1. Passer une commande
2. Ouvrir son détail
3. Cliquer « Annuler la commande »</t>
  </si>
  <si>
    <t>Message « Commande annulée. » ; statut cancelled.</t>
  </si>
  <si>
    <t>Message « Commande annulée. » ; la commande #3 passe au statut cancelled.</t>
  </si>
  <si>
    <t>evidence/png/TC-04-annulation.png</t>
  </si>
  <si>
    <t>TC-05</t>
  </si>
  <si>
    <t>Création d'une commande par carte via l'API</t>
  </si>
  <si>
    <t>Vérifier POST /api/orders sur un cas nominal.</t>
  </si>
  <si>
    <t>Clé API valide ; compte démo alice avec adresse.</t>
  </si>
  <si>
    <t>Margherita ×2 (10,90 €) chez Pizza Roma (livraison 2,49 €, minimum 12 €) ; card</t>
  </si>
  <si>
    <t>1. POST /orders avec le JSON de données</t>
  </si>
  <si>
    <t>HTTP 201 ; status confirmed ; subtotal 21,80 ; total 24,29.</t>
  </si>
  <si>
    <t>HTTP 201 ; commande #4 : status confirmed, subtotal 21,80, total 24,29.</t>
  </si>
  <si>
    <t>evidence/TC-05.txt</t>
  </si>
  <si>
    <t>TC-06</t>
  </si>
  <si>
    <t>Moyenne</t>
  </si>
  <si>
    <t>Paiement en espèces avec montant suffisant</t>
  </si>
  <si>
    <t>Vérifier le calcul de la monnaie rendue.</t>
  </si>
  <si>
    <t>Client connecté.</t>
  </si>
  <si>
    <t>Pizza Roma : Margherita ×2 = 21,80 € + 2,49 € = 24,29 € ; espèces remises 30,00 €</t>
  </si>
  <si>
    <t>1. Remplir le panier
2. Checkout, choisir Espèces, saisir 30
3. Confirmer</t>
  </si>
  <si>
    <t>Commande confirmée ; monnaie calculée 5,71 €.</t>
  </si>
  <si>
    <t>Commande #5 confirmée ; « Monnaie calculée : 5.71 € ».</t>
  </si>
  <si>
    <t>evidence/png/TC-06-1-checkout-especes.png
evidence/png/TC-06-2-commande.png</t>
  </si>
  <si>
    <t>TC-07</t>
  </si>
  <si>
    <t>Limite</t>
  </si>
  <si>
    <t>Filtre « Livraison max ≤ 2,50 € »</t>
  </si>
  <si>
    <t>Vérifier le filtre sur le frais de livraison à la valeur limite.</t>
  </si>
  <si>
    <t>-</t>
  </si>
  <si>
    <t>max_delivery = 2.50 ; frais : Green Kitchen 1,99 / Pizza Roma 2,49 / autres ≥ 2,99</t>
  </si>
  <si>
    <t>1. Choisir « Livraison max ≤ 2,50 € »
2. Rechercher</t>
  </si>
  <si>
    <t>Seuls les restaurants dont la livraison est ≤ 2,50 € : Green Kitchen et Pizza Roma.</t>
  </si>
  <si>
    <t>Restaurants affichés : Couscous Atlas, Tokyo Bowl, Burger Factory, Night Sushi (livraison 2,99 € à 3,49 €). Green Kitchen et Pizza Roma n'apparaissent pas.</t>
  </si>
  <si>
    <t>Fail</t>
  </si>
  <si>
    <t>BUG-07</t>
  </si>
  <si>
    <t>evidence/png/TC-07-filtre-livraison.png</t>
  </si>
  <si>
    <t>TC-08</t>
  </si>
  <si>
    <t>Coupon WELCOME10 avec un sous-total de 20,00 € (minimum exact)</t>
  </si>
  <si>
    <t>Vérifier la borne inclusive du montant minimum du coupon.</t>
  </si>
  <si>
    <t>Clé API valide.</t>
  </si>
  <si>
    <t>code WELCOME10 ; subtotal 20.00</t>
  </si>
  <si>
    <t>1. POST /coupons/validate</t>
  </si>
  <si>
    <t>valid = true ; discount = 2,00.</t>
  </si>
  <si>
    <t>HTTP 200 ; valid = true, discount = 2.0.</t>
  </si>
  <si>
    <t>evidence/TC-08.txt</t>
  </si>
  <si>
    <t>TC-09</t>
  </si>
  <si>
    <t>Coupon WELCOME10 avec un sous-total de 19,99 € (sous le minimum)</t>
  </si>
  <si>
    <t>Vérifier la borne basse du coupon.</t>
  </si>
  <si>
    <t>code WELCOME10 ; subtotal 19.99</t>
  </si>
  <si>
    <t>valid = false ; message « Montant minimum non atteint. ».</t>
  </si>
  <si>
    <t>HTTP 200 ; valid = false, « Montant minimum non atteint. », minimum = 20.0.</t>
  </si>
  <si>
    <t>evidence/TC-09.txt</t>
  </si>
  <si>
    <t>TC-10</t>
  </si>
  <si>
    <t>Quantité 20 acceptée et 21 refusée par l'API</t>
  </si>
  <si>
    <t>Vérifier la borne haute documentée (maximum 20).</t>
  </si>
  <si>
    <t>Clé API valide ; Tiramisu stock 100.</t>
  </si>
  <si>
    <t>Tiramisu quantity = 20 puis 21</t>
  </si>
  <si>
    <t>1. POST /orders qté 20
2. POST /orders qté 21</t>
  </si>
  <si>
    <t>qté 20 : HTTP 201 ; qté 21 : HTTP 400.</t>
  </si>
  <si>
    <t>Quantité 20 : HTTP 201 (commande créée). Quantité 21 : HTTP 400 « quantity must be between 1 and 20 ».</t>
  </si>
  <si>
    <t>evidence/TC-10.txt</t>
  </si>
  <si>
    <t>TC-11</t>
  </si>
  <si>
    <t>Quantité demandée supérieure au stock restant</t>
  </si>
  <si>
    <t>Vérifier qu'on ne peut pas commander plus que le stock disponible.</t>
  </si>
  <si>
    <t>Client connecté ; Salmon Bowl (Tokyo Bowl) stock = 2.</t>
  </si>
  <si>
    <t>Salmon Bowl quantité 3</t>
  </si>
  <si>
    <t>1. Ajouter Salmon Bowl qté 3 au panier
2. Passer commande par carte
3. Consulter le stock (GET /api/products/{id})</t>
  </si>
  <si>
    <t>L'ajout ou la commande est refusé (stock insuffisant) ; le stock ne devient jamais négatif.</t>
  </si>
  <si>
    <t>Commande #7 confirmée et payée (total 51,19 €) ; le stock de Salmon Bowl passe de 2 à -1.</t>
  </si>
  <si>
    <t>BUG-04</t>
  </si>
  <si>
    <t>evidence/png/TC-11-1-ajout-quantite-3-stock-2.png
evidence/png/TC-11-2-commande.png
evidence/png/TC-11-3-stock-negatif.png
evidence/TC-11.txt</t>
  </si>
  <si>
    <t>TC-12</t>
  </si>
  <si>
    <t>Commande sous le minimum du restaurant</t>
  </si>
  <si>
    <t>Vérifier que le minimum de commande affiché est appliqué.</t>
  </si>
  <si>
    <t>Client connecté ; Burger Factory minimum 20,00 €.</t>
  </si>
  <si>
    <t>Classic Burger ×1 + Frites ×1 = 15,40 €</t>
  </si>
  <si>
    <t>1. Remplir le panier
2. Checkout
3. Confirmer par carte</t>
  </si>
  <si>
    <t>Commande refusée avec un message indiquant le minimum de 20,00 €.</t>
  </si>
  <si>
    <t>Le checkout affiche « Commande minimum : 20.00 € » mais la commande #8 est confirmée avec un total de 18,39 €.</t>
  </si>
  <si>
    <t>BUG-06</t>
  </si>
  <si>
    <t>evidence/png/TC-12-1-checkout-minimum.png
evidence/png/TC-12-2-commande.png</t>
  </si>
  <si>
    <t>TC-13</t>
  </si>
  <si>
    <t>Erreur</t>
  </si>
  <si>
    <t>Appel de l'API sans clé</t>
  </si>
  <si>
    <t>Vérifier que l'API est protégée.</t>
  </si>
  <si>
    <t>Pas d'en-tête X-API-Key</t>
  </si>
  <si>
    <t>1. GET /restaurants sans clé</t>
  </si>
  <si>
    <t>HTTP 401 avec message d'erreur JSON.</t>
  </si>
  <si>
    <t>HTTP 401 ; « missing or invalid X-API-Key ».</t>
  </si>
  <si>
    <t>evidence/TC-13.txt</t>
  </si>
  <si>
    <t>TC-14</t>
  </si>
  <si>
    <t>product_id envoyé en texte à l'API</t>
  </si>
  <si>
    <t>Vérifier la robustesse face à un type inattendu.</t>
  </si>
  <si>
    <t>"product_id": "&lt;id Margherita&gt;" (string)</t>
  </si>
  <si>
    <t>1. POST /orders avec product_id en chaîne</t>
  </si>
  <si>
    <t>HTTP 400 (validation) ou 201 (conversion), jamais d'erreur serveur 500.</t>
  </si>
  <si>
    <t>HTTP 500, réponse au format text/html.</t>
  </si>
  <si>
    <t>BUG-09</t>
  </si>
  <si>
    <t>evidence/TC-14.txt</t>
  </si>
  <si>
    <t>TC-15</t>
  </si>
  <si>
    <t>Connexion avec mauvais mot de passe</t>
  </si>
  <si>
    <t>Vérifier le refus d'authentification.</t>
  </si>
  <si>
    <t>Compte alice existant.</t>
  </si>
  <si>
    <t>alice@example.com / mauvais</t>
  </si>
  <si>
    <t>1. Se connecter avec un mauvais mot de passe</t>
  </si>
  <si>
    <t>Message « Email ou mot de passe incorrect. » ; non connecté.</t>
  </si>
  <si>
    <t>Message « Email ou mot de passe incorrect. » ; utilisateur non connecté.</t>
  </si>
  <si>
    <t>evidence/png/TC-15-mauvais-mot-de-passe.png</t>
  </si>
  <si>
    <t>TC-16</t>
  </si>
  <si>
    <t>Coupon expiré EXPIRED10</t>
  </si>
  <si>
    <t>Vérifier le refus d'un coupon expiré (API et UI).</t>
  </si>
  <si>
    <t>Coupon EXPIRED10 expiré depuis 1 jour.</t>
  </si>
  <si>
    <t>code EXPIRED10 ; subtotal 50</t>
  </si>
  <si>
    <t>1. POST /coupons/validate
2. Checkout UI avec EXPIRED10</t>
  </si>
  <si>
    <t>API : HTTP 404, valid=false ; UI : message « Coupon invalide ou expiré. », réduction 0.</t>
  </si>
  <si>
    <t>API : HTTP 404, valid = false, « Coupon invalide ou expiré. ». Interface : même message, réduction 0,00 €.</t>
  </si>
  <si>
    <t>evidence/png/TC-16-coupon-expire.png
evidence/TC-16.txt</t>
  </si>
  <si>
    <t>TC-17</t>
  </si>
  <si>
    <t>Accès à la commande d'un autre client</t>
  </si>
  <si>
    <t>Vérifier le cloisonnement des commandes entre clients.</t>
  </si>
  <si>
    <t>Bob connecté ; commande seed #1 appartenant à Alice.</t>
  </si>
  <si>
    <t>order_id de la commande d'Alice</t>
  </si>
  <si>
    <t>1. Se connecter en Bob
2. Ouvrir /orders/&lt;id commande Alice&gt;</t>
  </si>
  <si>
    <t>Accès refusé (« Commande inaccessible. ») ; aucune donnée d'Alice affichée.</t>
  </si>
  <si>
    <t>Message « Commande inaccessible. » ; aucune donnée de la commande d'Alice affichée.</t>
  </si>
  <si>
    <t>evidence/png/TC-17-commande-autre-client.png</t>
  </si>
  <si>
    <t>TC-18</t>
  </si>
  <si>
    <t>Checkout avec panier vide</t>
  </si>
  <si>
    <t>Vérifier la redirection quand le panier est vide.</t>
  </si>
  <si>
    <t>Client connecté ; panier vide.</t>
  </si>
  <si>
    <t>1. Vider le panier
2. Ouvrir /checkout</t>
  </si>
  <si>
    <t>Redirection vers /cart avec « Votre panier est vide. ».</t>
  </si>
  <si>
    <t>Redirection vers /cart avec le message « Votre panier est vide. ».</t>
  </si>
  <si>
    <t>evidence/png/TC-18-panier-vide.png</t>
  </si>
  <si>
    <t>TC-19</t>
  </si>
  <si>
    <t>Règle métier</t>
  </si>
  <si>
    <t>Commande impossible dans un restaurant fermé</t>
  </si>
  <si>
    <t>Vérifier qu'un restaurant fermé ne reçoit pas de commande.</t>
  </si>
  <si>
    <t>Night Sushi is_open = false (affiché « FERMÉ »).</t>
  </si>
  <si>
    <t>Late Sushi Box ×1 (14,00 €)</t>
  </si>
  <si>
    <t>1. Ouvrir Night Sushi
2. Ajouter Late Sushi Box
3. Passer commande par carte</t>
  </si>
  <si>
    <t>Ajout au panier ou commande refusé avec un message « restaurant fermé ».</t>
  </si>
  <si>
    <t>Le menu affiche « FERMÉ » mais l'ajout est accepté et la commande #9 est confirmée.</t>
  </si>
  <si>
    <t>BUG-03</t>
  </si>
  <si>
    <t>evidence/png/TC-19-1-ajout-restaurant-ferme.png
evidence/png/TC-19-2-commande.png</t>
  </si>
  <si>
    <t>TC-20</t>
  </si>
  <si>
    <t>Paiement en espèces avec un montant insuffisant</t>
  </si>
  <si>
    <t>Vérifier le refus d'un paiement espèces inférieur au total.</t>
  </si>
  <si>
    <t>Pizza Roma : total 24,29 € ; espèces remises 1,00 €</t>
  </si>
  <si>
    <t>1. Remplir le panier
2. Checkout, Espèces, montant 1
3. Confirmer</t>
  </si>
  <si>
    <t>Commande refusée : « montant insuffisant ».</t>
  </si>
  <si>
    <t>Commande #10 confirmée, paiement paid ; « Monnaie calculée : -23.29 € ».</t>
  </si>
  <si>
    <t>BUG-02</t>
  </si>
  <si>
    <t>evidence/png/TC-20-1-checkout-especes-1-euro.png
evidence/png/TC-20-2-commande.png</t>
  </si>
  <si>
    <t>TC-21</t>
  </si>
  <si>
    <t>Critique</t>
  </si>
  <si>
    <t>Une seule commande créée lors d'un paiement PayPal</t>
  </si>
  <si>
    <t>Vérifier qu'un paiement PayPal crée exactement une commande.</t>
  </si>
  <si>
    <t>Client Alice connecté.</t>
  </si>
  <si>
    <t>Pizza Roma : Margherita ×2 ; paiement PayPal</t>
  </si>
  <si>
    <t>1. Compter les commandes (GET /api/orders)
2. Commander via PayPal
3. Recompter</t>
  </si>
  <si>
    <t>Exactement +1 commande ; un seul débit.</t>
  </si>
  <si>
    <t>Nombre de commandes : 10 avant, 12 après. Deux commandes PayPal identiques à 24,29 € (#11 et #12).</t>
  </si>
  <si>
    <t>BUG-01</t>
  </si>
  <si>
    <t>evidence/png/TC-21-1-checkout-paypal.png
evidence/png/TC-21-2-deux-commandes.png
evidence/TC-21.txt</t>
  </si>
  <si>
    <t>TC-22</t>
  </si>
  <si>
    <t>Promotion ATLAS15 annoncée à -15 %</t>
  </si>
  <si>
    <t>Vérifier que la réduction appliquée correspond à la promotion affichée.</t>
  </si>
  <si>
    <t>Couscous Atlas affiche « utilisez le code ATLAS15 pour obtenir 15 % de réduction ».</t>
  </si>
  <si>
    <t>Couscous Royal ×2 = 35,80 € ; code ATLAS15</t>
  </si>
  <si>
    <t>1. Remplir le panier
2. Checkout avec ATLAS15</t>
  </si>
  <si>
    <t>Réduction = 15 % × 35,80 = 5,37 €.</t>
  </si>
  <si>
    <t>La page annonce « 15 % de réduction » ; réduction appliquée : 3,58 € sur 35,80 € (10 %).</t>
  </si>
  <si>
    <t>BUG-08</t>
  </si>
  <si>
    <t>evidence/png/TC-22-1-offre-15-pourcent.png
evidence/png/TC-22-2-reduction-appliquee.png</t>
  </si>
  <si>
    <t>TC-23</t>
  </si>
  <si>
    <t>Panier mono-restaurant</t>
  </si>
  <si>
    <t>Vérifier qu'un panier ne mélange pas deux restaurants.</t>
  </si>
  <si>
    <t>Panier contenant un produit Burger Factory.</t>
  </si>
  <si>
    <t>Classic Burger puis Margherita</t>
  </si>
  <si>
    <t>1. Ajouter Classic Burger
2. Ajouter Margherita</t>
  </si>
  <si>
    <t>Second ajout refusé : « Un panier ne peut contenir que des produits du même restaurant. ».</t>
  </si>
  <si>
    <t>Message « Un panier ne peut contenir que des produits du même restaurant. » ; Margherita n'est pas dans le panier.</t>
  </si>
  <si>
    <t>evidence/png/TC-23-1-refus-autre-restaurant.png
evidence/png/TC-23-2-panier.png</t>
  </si>
  <si>
    <t>TC-24</t>
  </si>
  <si>
    <t>Adresse de livraison exigée pour un nouveau compte</t>
  </si>
  <si>
    <t>Vérifier qu'une commande ne peut pas être livrée à une adresse vide.</t>
  </si>
  <si>
    <t>Compte nouvellement créé (aucune adresse saisie).</t>
  </si>
  <si>
    <t>Margherita ×2</t>
  </si>
  <si>
    <t>1. Créer un compte
2. Ajouter au panier
3. Checkout et confirmer par carte</t>
  </si>
  <si>
    <t>Le checkout exige une adresse complète ; aucune commande créée sans rue / code postal / ville.</t>
  </si>
  <si>
    <t>Adresse proposée : « Domicile — , » (vide). La commande #13 est confirmée avec une adresse de livraison vide.</t>
  </si>
  <si>
    <t>BUG-05</t>
  </si>
  <si>
    <t>evidence/png/TC-24-1-checkout-adresse-vide.png
evidence/png/TC-24-2-commande-sans-adresse.png</t>
  </si>
  <si>
    <t>Sévérité</t>
  </si>
  <si>
    <t>Cas lié</t>
  </si>
  <si>
    <t>Nb de cas en échec</t>
  </si>
  <si>
    <t>Un paiement PayPal crée deux commandes identiques (double débit)</t>
  </si>
  <si>
    <t>P1</t>
  </si>
  <si>
    <t>Paiement en espèces accepté avec un montant inférieur au total</t>
  </si>
  <si>
    <t>Majeure</t>
  </si>
  <si>
    <t>Un restaurant fermé accepte des commandes</t>
  </si>
  <si>
    <t>Une quantité supérieure au stock est commandable et le stock devient négatif</t>
  </si>
  <si>
    <t>Un nouveau compte peut commander avec une adresse de livraison vide</t>
  </si>
  <si>
    <t>Le minimum de commande affiché n'est pas appliqué</t>
  </si>
  <si>
    <t>P2</t>
  </si>
  <si>
    <t>Le filtre « Livraison max » renvoie l'inverse du résultat attendu</t>
  </si>
  <si>
    <t>Le code ATLAS15 annoncé à -15 % n'applique que 10 %</t>
  </si>
  <si>
    <t>Un product_id envoyé en texte à l'API provoque une erreur 500</t>
  </si>
  <si>
    <t>Ouvert</t>
  </si>
  <si>
    <t>Récapitulatif des anomalies</t>
  </si>
  <si>
    <t>Nb d'anomalies</t>
  </si>
  <si>
    <t>Total</t>
  </si>
  <si>
    <t>ID exigence</t>
  </si>
  <si>
    <t>Exigence</t>
  </si>
  <si>
    <t>Cas de test</t>
  </si>
  <si>
    <t>Statut global</t>
  </si>
  <si>
    <t>EX-01</t>
  </si>
  <si>
    <t>Connexion d'un client</t>
  </si>
  <si>
    <t>TC-01, TC-15</t>
  </si>
  <si>
    <t>EX-02</t>
  </si>
  <si>
    <t>Calcul du panier et des totaux</t>
  </si>
  <si>
    <t>EX-03</t>
  </si>
  <si>
    <t>Commande et paiement par carte (interface et API)</t>
  </si>
  <si>
    <t>TC-03, TC-05</t>
  </si>
  <si>
    <t>EX-04</t>
  </si>
  <si>
    <t>Annulation d'une commande</t>
  </si>
  <si>
    <t>EX-05</t>
  </si>
  <si>
    <t>Paiement en espèces : montant suffisant exigé, monnaie correcte</t>
  </si>
  <si>
    <t>TC-06, TC-20</t>
  </si>
  <si>
    <t>EX-06</t>
  </si>
  <si>
    <t>Filtre « Livraison max »</t>
  </si>
  <si>
    <t>EX-07</t>
  </si>
  <si>
    <t>Coupon : minimum de commande et expiration</t>
  </si>
  <si>
    <t>TC-08, TC-09, TC-16</t>
  </si>
  <si>
    <t>EX-08</t>
  </si>
  <si>
    <t>Promotion affichée = remise appliquée</t>
  </si>
  <si>
    <t>EX-09</t>
  </si>
  <si>
    <t>Limites de quantité de l'API (1 à 20)</t>
  </si>
  <si>
    <t>EX-10</t>
  </si>
  <si>
    <t>Respect du stock disponible</t>
  </si>
  <si>
    <t>EX-11</t>
  </si>
  <si>
    <t>Minimum de commande du restaurant</t>
  </si>
  <si>
    <t>EX-12</t>
  </si>
  <si>
    <t>API protégée par clé</t>
  </si>
  <si>
    <t>EX-13</t>
  </si>
  <si>
    <t>Robustesse de l'API face aux entrées invalides</t>
  </si>
  <si>
    <t>EX-14</t>
  </si>
  <si>
    <t>Séparation des commandes entre clients</t>
  </si>
  <si>
    <t>EX-15</t>
  </si>
  <si>
    <t>Panier : vide et limité à un seul restaurant</t>
  </si>
  <si>
    <t>TC-18, TC-23</t>
  </si>
  <si>
    <t>EX-16</t>
  </si>
  <si>
    <t>Restaurant fermé non commandable</t>
  </si>
  <si>
    <t>EX-17</t>
  </si>
  <si>
    <t>Une seule commande par paiement PayPal</t>
  </si>
  <si>
    <t>EX-18</t>
  </si>
  <si>
    <t>Adresse de livraison obligatoire</t>
  </si>
  <si>
    <t>Cahier de test QuickOrder V3.1</t>
  </si>
  <si>
    <t>Date d'exécution</t>
  </si>
  <si>
    <t>Version</t>
  </si>
  <si>
    <t>Moyens de test</t>
  </si>
  <si>
    <t>Indicateur</t>
  </si>
  <si>
    <t>Valeur</t>
  </si>
  <si>
    <t>Nombre total de cas</t>
  </si>
  <si>
    <t>Blocked</t>
  </si>
  <si>
    <t>Skipped</t>
  </si>
  <si>
    <t>Taux de réussite</t>
  </si>
  <si>
    <t>Répartition par Type × Statut</t>
  </si>
  <si>
    <t>Répartition par Priorité × Statut</t>
  </si>
  <si>
    <t xml:space="preserve">Google Chrome, CURL </t>
  </si>
  <si>
    <t>12/10:2026</t>
  </si>
  <si>
    <t>QuickOrder V3.1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</si>
</sst>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/>
    <xf numFmtId="49" fontId="1" fillId="0" borderId="2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8" xfId="0" applyNumberFormat="1" applyFont="1" applyBorder="1" applyAlignment="1">
      <alignment vertical="top" wrapText="1"/>
    </xf>
    <xf numFmtId="49" fontId="1" fillId="0" borderId="9" xfId="0" applyNumberFormat="1" applyFont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 wrapText="1"/>
    </xf>
    <xf numFmtId="49" fontId="3" fillId="2" borderId="5" xfId="0" applyNumberFormat="1" applyFont="1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0" fontId="1" fillId="0" borderId="0" xfId="0" applyFont="1"/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4" fillId="0" borderId="0" xfId="0" applyFont="1"/>
    <xf numFmtId="0" fontId="1" fillId="0" borderId="2" xfId="0" applyFont="1" applyBorder="1"/>
    <xf numFmtId="0" fontId="3" fillId="2" borderId="2" xfId="0" applyFont="1" applyFill="1" applyBorder="1"/>
    <xf numFmtId="0" fontId="2" fillId="0" borderId="2" xfId="0" applyFont="1" applyBorder="1"/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54"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4B183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4B183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sz val="11"/>
        <color rgb="FF000000"/>
        <name val="Calibri"/>
      </font>
      <alignment horizontal="center"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/>
        <sz val="11"/>
        <color rgb="FFFFFFFF"/>
        <name val="Calibri"/>
      </font>
      <fill>
        <patternFill patternType="solid">
          <fgColor indexed="64"/>
          <bgColor rgb="FF1F3864"/>
        </patternFill>
      </fill>
      <alignment vertical="top" wrapText="1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/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border>
        <top style="thin">
          <color rgb="FF808080"/>
        </top>
      </border>
    </dxf>
    <dxf>
      <border>
        <bottom style="thin">
          <color rgb="FF808080"/>
        </bottom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z val="11"/>
        <color rgb="FF000000"/>
        <name val="Calibri"/>
      </font>
      <alignment vertical="top" wrapText="1"/>
    </dxf>
    <dxf>
      <font>
        <b/>
        <sz val="11"/>
        <color rgb="FFFFFFFF"/>
        <name val="Calibri"/>
      </font>
      <fill>
        <patternFill patternType="solid">
          <fgColor indexed="64"/>
          <bgColor rgb="FF1F3864"/>
        </patternFill>
      </fill>
      <alignment vertical="top" wrapText="1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alignment vertical="top" wrapText="1"/>
      <border diagonalUp="0" diagonalDown="0">
        <left/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border>
        <top style="thin">
          <color rgb="FF808080"/>
        </top>
      </border>
    </dxf>
    <dxf>
      <border>
        <bottom style="thin">
          <color rgb="FF808080"/>
        </bottom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z val="11"/>
        <color rgb="FF000000"/>
        <name val="Calibri"/>
      </font>
      <alignment vertical="top" wrapText="1"/>
    </dxf>
    <dxf>
      <font>
        <b/>
        <sz val="11"/>
        <color rgb="FF000000"/>
        <name val="Calibri"/>
      </font>
      <numFmt numFmtId="30" formatCode="@"/>
      <alignment vertical="top" wrapText="1"/>
      <border diagonalUp="0" diagonalDown="0">
        <left/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b/>
        <sz val="11"/>
        <color rgb="FFFFFFFF"/>
        <name val="Calibri"/>
      </font>
      <numFmt numFmtId="30" formatCode="@"/>
      <fill>
        <patternFill patternType="solid">
          <fgColor indexed="64"/>
          <bgColor rgb="FF1F3864"/>
        </patternFill>
      </fill>
      <alignment vertical="top" wrapText="1"/>
      <border diagonalUp="0" diagonalDown="0">
        <left style="thin">
          <color rgb="FF808080"/>
        </left>
        <right style="thin">
          <color rgb="FF808080"/>
        </right>
        <top/>
        <bottom/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font>
        <sz val="11"/>
        <color rgb="FF000000"/>
        <name val="Calibri"/>
      </font>
      <numFmt numFmtId="30" formatCode="@"/>
      <alignment vertical="top" wrapText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808080"/>
        </vertical>
        <horizontal style="thin">
          <color rgb="FF808080"/>
        </horizontal>
      </border>
    </dxf>
    <dxf>
      <border>
        <top style="thin">
          <color rgb="FF808080"/>
        </top>
      </border>
    </dxf>
    <dxf>
      <border>
        <bottom style="thin">
          <color rgb="FF808080"/>
        </bottom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sz val="11"/>
        <color rgb="FF000000"/>
        <name val="Calibri"/>
      </font>
      <numFmt numFmtId="30" formatCode="@"/>
      <alignment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statuts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65-A447-8ED9-93DED817C00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65-A447-8ED9-93DED817C00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65-A447-8ED9-93DED817C000}"/>
              </c:ext>
            </c:extLst>
          </c:dPt>
          <c:dPt>
            <c:idx val="3"/>
            <c:bubble3D val="0"/>
            <c:spPr>
              <a:solidFill>
                <a:srgbClr val="A6A6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C65-A447-8ED9-93DED817C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Résumée!$A$9:$A$12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Skipped</c:v>
                </c:pt>
              </c:strCache>
            </c:strRef>
          </c:cat>
          <c:val>
            <c:numRef>
              <c:f>Résumée!$B$9:$B$12</c:f>
              <c:numCache>
                <c:formatCode>General</c:formatCode>
                <c:ptCount val="4"/>
                <c:pt idx="0">
                  <c:v>15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5-A447-8ED9-93DED817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/ Fail par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74534913904992E-2"/>
          <c:y val="0.21629679395877563"/>
          <c:w val="0.93325465086095005"/>
          <c:h val="0.720257960179220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Résumée!$B$16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Résumée!$A$17:$A$20</c:f>
              <c:strCache>
                <c:ptCount val="4"/>
                <c:pt idx="0">
                  <c:v>Nominal</c:v>
                </c:pt>
                <c:pt idx="1">
                  <c:v>Limite</c:v>
                </c:pt>
                <c:pt idx="2">
                  <c:v>Erreur</c:v>
                </c:pt>
                <c:pt idx="3">
                  <c:v>Règle métier</c:v>
                </c:pt>
              </c:strCache>
            </c:strRef>
          </c:cat>
          <c:val>
            <c:numRef>
              <c:f>Résumée!$B$17:$B$20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0-6D41-8A53-950A3F55A713}"/>
            </c:ext>
          </c:extLst>
        </c:ser>
        <c:ser>
          <c:idx val="1"/>
          <c:order val="1"/>
          <c:tx>
            <c:strRef>
              <c:f>Résumée!$C$16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Résumée!$A$17:$A$20</c:f>
              <c:strCache>
                <c:ptCount val="4"/>
                <c:pt idx="0">
                  <c:v>Nominal</c:v>
                </c:pt>
                <c:pt idx="1">
                  <c:v>Limite</c:v>
                </c:pt>
                <c:pt idx="2">
                  <c:v>Erreur</c:v>
                </c:pt>
                <c:pt idx="3">
                  <c:v>Règle métier</c:v>
                </c:pt>
              </c:strCache>
            </c:strRef>
          </c:cat>
          <c:val>
            <c:numRef>
              <c:f>Résumée!$C$17:$C$20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0-6D41-8A53-950A3F55A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8557824"/>
        <c:axId val="1486621312"/>
      </c:barChart>
      <c:catAx>
        <c:axId val="14385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621312"/>
        <c:crosses val="autoZero"/>
        <c:auto val="1"/>
        <c:lblAlgn val="ctr"/>
        <c:lblOffset val="100"/>
        <c:noMultiLvlLbl val="0"/>
      </c:catAx>
      <c:valAx>
        <c:axId val="14866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85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330200</xdr:colOff>
      <xdr:row>0</xdr:row>
      <xdr:rowOff>50800</xdr:rowOff>
    </xdr:from>
    <xdr:to>
      <xdr:col>15</xdr:col>
      <xdr:colOff>330200</xdr:colOff>
      <xdr:row>14</xdr:row>
      <xdr:rowOff>50800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7AA8D96-E669-FA22-9F9D-AF9D425D4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17</xdr:row>
      <xdr:rowOff>139700</xdr:rowOff>
    </xdr:from>
    <xdr:to>
      <xdr:col>16</xdr:col>
      <xdr:colOff>228600</xdr:colOff>
      <xdr:row>33</xdr:row>
      <xdr:rowOff>139700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B994A55-78BE-3E38-B887-00C63DF98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9C920-FD18-834D-9DB7-E4622876F9E3}" name="tblCasDeTest" displayName="tblCasDeTest" ref="A1:M25" totalsRowShown="0" headerRowDxfId="37" dataDxfId="53" headerRowBorderDxfId="51" tableBorderDxfId="52" totalsRowBorderDxfId="50">
  <autoFilter ref="A1:M25" xr:uid="{4D19C920-FD18-834D-9DB7-E4622876F9E3}"/>
  <tableColumns count="13">
    <tableColumn id="1" xr3:uid="{870B6595-18CD-6E4C-8B69-9826EFCD6667}" name="ID" dataDxfId="36"/>
    <tableColumn id="2" xr3:uid="{212D18B4-B863-6D4C-AC8F-BE4960EF5C0D}" name="Type" dataDxfId="49"/>
    <tableColumn id="3" xr3:uid="{A7B95152-B51E-1146-B3E4-80E8FE9E0489}" name="Priorité" dataDxfId="48"/>
    <tableColumn id="4" xr3:uid="{5437F62F-015D-4147-9D9F-6DB7DBBFF650}" name="Titre" dataDxfId="47"/>
    <tableColumn id="5" xr3:uid="{4F22289D-402A-FC47-8050-CAD726EDA486}" name="Objectif" dataDxfId="46"/>
    <tableColumn id="6" xr3:uid="{21744D85-7509-D34C-82B0-CC7D64B839B8}" name="Préconditions" dataDxfId="45"/>
    <tableColumn id="7" xr3:uid="{55BCCF02-888F-D54F-B09F-F0C940901B30}" name="Données" dataDxfId="44"/>
    <tableColumn id="8" xr3:uid="{5038DA4B-87B7-CF44-9CD3-C50AC1FF9524}" name="Étapes" dataDxfId="43"/>
    <tableColumn id="9" xr3:uid="{EE90FCDC-B35E-5740-A49D-967A734D3D00}" name="Résultat attendu" dataDxfId="42"/>
    <tableColumn id="10" xr3:uid="{1171F356-4EAA-314D-98A5-82F18BC08EB3}" name="Résultat obtenu" dataDxfId="41"/>
    <tableColumn id="11" xr3:uid="{5CB17671-8103-D54E-8174-F3BD2C7AAD16}" name="Statut" dataDxfId="40"/>
    <tableColumn id="12" xr3:uid="{540D2966-52D4-E140-903D-7398CF959B56}" name="Bug lié" dataDxfId="39"/>
    <tableColumn id="13" xr3:uid="{B80B3A00-0DA6-6F45-B55C-9A31C5A2F618}" name="Preuve" dataDxfId="3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7B0FA8-9ECA-5E48-A948-42749F13A172}" name="tblAnomalies" displayName="tblAnomalies" ref="A1:G10" totalsRowShown="0" headerRowDxfId="25" dataDxfId="35" headerRowBorderDxfId="33" tableBorderDxfId="34" totalsRowBorderDxfId="32">
  <autoFilter ref="A1:G10" xr:uid="{087B0FA8-9ECA-5E48-A948-42749F13A172}"/>
  <tableColumns count="7">
    <tableColumn id="1" xr3:uid="{F373A61B-5BEF-8847-A72B-969485A66AAA}" name="ID" dataDxfId="31"/>
    <tableColumn id="2" xr3:uid="{4E5E7D50-3329-B743-9E33-ACE0F552308C}" name="Titre" dataDxfId="30"/>
    <tableColumn id="3" xr3:uid="{369E5CE4-DDCD-6B43-881B-7EF414CA0BF4}" name="Sévérité" dataDxfId="29"/>
    <tableColumn id="4" xr3:uid="{0A89364A-4E83-FE4C-803A-B6656A2AD4C7}" name="Priorité" dataDxfId="28"/>
    <tableColumn id="5" xr3:uid="{5A505D50-5A8C-5540-8978-1D37A633349D}" name="Cas lié" dataDxfId="27"/>
    <tableColumn id="6" xr3:uid="{7106081A-8B37-DD48-809F-81808388A7F4}" name="Nb de cas en échec" dataDxfId="14">
      <calculatedColumnFormula>COUNTIFS(tblCasDeTest[Bug lié],tblAnomalies[[#This Row],[ID]],tblCasDeTest[Statut],"Fail")</calculatedColumnFormula>
    </tableColumn>
    <tableColumn id="7" xr3:uid="{6D850568-900D-8A48-AE1F-189D9F22F246}" name="Statut" dataDxfId="26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80E971-D685-1D43-9D23-C716EFCA15C5}" name="tblTracabilite" displayName="tblTracabilite" ref="A1:E19" totalsRowShown="0" headerRowDxfId="15" dataDxfId="24" headerRowBorderDxfId="22" tableBorderDxfId="23" totalsRowBorderDxfId="21">
  <autoFilter ref="A1:E19" xr:uid="{5880E971-D685-1D43-9D23-C716EFCA15C5}"/>
  <tableColumns count="5">
    <tableColumn id="1" xr3:uid="{A88AC5E1-E554-914F-9799-131FD55E05F0}" name="ID exigence" dataDxfId="20"/>
    <tableColumn id="2" xr3:uid="{99F24974-950A-3146-BB94-AA0A81C36663}" name="Exigence" dataDxfId="19"/>
    <tableColumn id="3" xr3:uid="{32698AFA-88C9-B94C-A772-F6906DF114FD}" name="Cas de test" dataDxfId="18"/>
    <tableColumn id="4" xr3:uid="{FFE935D0-0459-D046-9DA9-1F872993BE78}" name="Statut global" dataDxfId="17">
      <calculatedColumnFormula array="1">IF(SUMPRODUCT(ISNUMBER(SEARCH(tblCasDeTest[ID],tblTracabilite[[#This Row],[Cas de test]]))*(tblCasDeTest[Statut]="Fail"))&gt;0,"Fail","Pass")</calculatedColumnFormula>
    </tableColumn>
    <tableColumn id="5" xr3:uid="{17398B2E-D957-CE42-BD1E-0D17570465F4}" name="Bug lié" dataDxfId="16">
      <calculatedColumnFormula array="1">_xlfn.TEXTJOIN(", ",TRUE,IF(ISNUMBER(SEARCH(tblCasDeTest[ID],tblTracabilite[[#This Row],[Cas de test]]))*(tblCasDeTest[Statut]="Fail"),tblCasDeTest[Bug lié]&amp;"",""))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E70010-C8DA-034D-BAE3-6D663BAA6A0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c769ae5-f39c-41f6-9e9b-2f9f97f700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8E52-2F45-AF43-A5D8-1F1CD8A93E2B}">
  <sheetPr>
    <pageSetUpPr fitToPage="1"/>
  </sheetPr>
  <dimension ref="A1:H31"/>
  <sheetViews>
    <sheetView workbookViewId="0">
      <selection activeCell="B31" sqref="B31"/>
    </sheetView>
  </sheetViews>
  <sheetFormatPr baseColWidth="10" defaultRowHeight="16" x14ac:dyDescent="0.2"/>
  <cols>
    <col min="1" max="1" width="22.33203125" customWidth="1"/>
    <col min="2" max="7" width="13" customWidth="1"/>
  </cols>
  <sheetData>
    <row r="1" spans="1:8" ht="19" x14ac:dyDescent="0.25">
      <c r="A1" s="23" t="s">
        <v>306</v>
      </c>
      <c r="B1" s="11"/>
      <c r="C1" s="11"/>
      <c r="D1" s="11"/>
      <c r="E1" s="11"/>
      <c r="F1" s="11"/>
      <c r="G1" s="11"/>
      <c r="H1" s="11"/>
    </row>
    <row r="2" spans="1:8" x14ac:dyDescent="0.2">
      <c r="A2" s="27" t="s">
        <v>307</v>
      </c>
      <c r="B2" s="1" t="s">
        <v>319</v>
      </c>
      <c r="C2" s="11"/>
      <c r="D2" s="11"/>
      <c r="E2" s="11"/>
      <c r="F2" s="11"/>
      <c r="G2" s="11"/>
      <c r="H2" s="11"/>
    </row>
    <row r="3" spans="1:8" x14ac:dyDescent="0.2">
      <c r="A3" s="27" t="s">
        <v>308</v>
      </c>
      <c r="B3" s="11" t="s">
        <v>320</v>
      </c>
      <c r="C3" s="11"/>
      <c r="D3" s="11"/>
      <c r="E3" s="11"/>
      <c r="F3" s="11"/>
      <c r="G3" s="11"/>
      <c r="H3" s="11"/>
    </row>
    <row r="4" spans="1:8" x14ac:dyDescent="0.2">
      <c r="A4" s="27" t="s">
        <v>309</v>
      </c>
      <c r="B4" s="11" t="s">
        <v>318</v>
      </c>
      <c r="C4" s="11"/>
      <c r="D4" s="11"/>
      <c r="E4" s="11"/>
      <c r="F4" s="11"/>
      <c r="G4" s="11"/>
      <c r="H4" s="11"/>
    </row>
    <row r="5" spans="1:8" x14ac:dyDescent="0.2">
      <c r="A5" s="27"/>
      <c r="B5" s="11"/>
      <c r="C5" s="11"/>
      <c r="D5" s="11"/>
      <c r="E5" s="11"/>
      <c r="F5" s="11"/>
      <c r="G5" s="11"/>
      <c r="H5" s="11"/>
    </row>
    <row r="6" spans="1:8" x14ac:dyDescent="0.2">
      <c r="A6" s="11"/>
      <c r="B6" s="11"/>
      <c r="C6" s="11"/>
      <c r="D6" s="11"/>
      <c r="E6" s="11"/>
      <c r="F6" s="11"/>
      <c r="G6" s="11"/>
      <c r="H6" s="11"/>
    </row>
    <row r="7" spans="1:8" x14ac:dyDescent="0.2">
      <c r="A7" s="25" t="s">
        <v>310</v>
      </c>
      <c r="B7" s="25" t="s">
        <v>311</v>
      </c>
      <c r="C7" s="11"/>
      <c r="D7" s="11"/>
      <c r="E7" s="11"/>
      <c r="F7" s="11"/>
      <c r="G7" s="11"/>
      <c r="H7" s="11"/>
    </row>
    <row r="8" spans="1:8" x14ac:dyDescent="0.2">
      <c r="A8" s="34" t="s">
        <v>312</v>
      </c>
      <c r="B8" s="28">
        <f>COUNTIF(tblCasDeTest[ID],"&lt;&gt;")</f>
        <v>24</v>
      </c>
      <c r="C8" s="29"/>
      <c r="D8" s="29"/>
      <c r="E8" s="29"/>
      <c r="F8" s="29"/>
      <c r="G8" s="29"/>
      <c r="H8" s="11"/>
    </row>
    <row r="9" spans="1:8" x14ac:dyDescent="0.2">
      <c r="A9" s="34" t="s">
        <v>23</v>
      </c>
      <c r="B9" s="28">
        <f>COUNTIF(tblCasDeTest[Statut],A9)</f>
        <v>15</v>
      </c>
      <c r="C9" s="29"/>
      <c r="D9" s="29"/>
      <c r="E9" s="29"/>
      <c r="F9" s="29"/>
      <c r="G9" s="29"/>
      <c r="H9" s="11"/>
    </row>
    <row r="10" spans="1:8" x14ac:dyDescent="0.2">
      <c r="A10" s="34" t="s">
        <v>81</v>
      </c>
      <c r="B10" s="28">
        <f>COUNTIF(tblCasDeTest[Statut],A10)</f>
        <v>9</v>
      </c>
      <c r="C10" s="29"/>
      <c r="D10" s="29"/>
      <c r="E10" s="29"/>
      <c r="F10" s="29"/>
      <c r="G10" s="29"/>
      <c r="H10" s="11"/>
    </row>
    <row r="11" spans="1:8" x14ac:dyDescent="0.2">
      <c r="A11" s="34" t="s">
        <v>313</v>
      </c>
      <c r="B11" s="28">
        <f>COUNTIF(tblCasDeTest[Statut],A11)</f>
        <v>0</v>
      </c>
      <c r="C11" s="29"/>
      <c r="D11" s="29"/>
      <c r="E11" s="29"/>
      <c r="F11" s="29"/>
      <c r="G11" s="29"/>
      <c r="H11" s="11"/>
    </row>
    <row r="12" spans="1:8" x14ac:dyDescent="0.2">
      <c r="A12" s="34" t="s">
        <v>314</v>
      </c>
      <c r="B12" s="28">
        <f>COUNTIF(tblCasDeTest[Statut],A12)</f>
        <v>0</v>
      </c>
      <c r="C12" s="29"/>
      <c r="D12" s="29"/>
      <c r="E12" s="29"/>
      <c r="F12" s="29"/>
      <c r="G12" s="29"/>
      <c r="H12" s="11"/>
    </row>
    <row r="13" spans="1:8" x14ac:dyDescent="0.2">
      <c r="A13" s="36" t="s">
        <v>315</v>
      </c>
      <c r="B13" s="33">
        <f>IFERROR(B9/B8,0)</f>
        <v>0.625</v>
      </c>
      <c r="C13" s="29"/>
      <c r="D13" s="29"/>
      <c r="E13" s="29"/>
      <c r="F13" s="29"/>
      <c r="G13" s="29"/>
      <c r="H13" s="11"/>
    </row>
    <row r="14" spans="1:8" x14ac:dyDescent="0.2">
      <c r="A14" s="11"/>
      <c r="B14" s="29"/>
      <c r="C14" s="29"/>
      <c r="D14" s="29"/>
      <c r="E14" s="29"/>
      <c r="F14" s="29"/>
      <c r="G14" s="29"/>
      <c r="H14" s="11"/>
    </row>
    <row r="15" spans="1:8" ht="19" x14ac:dyDescent="0.25">
      <c r="A15" s="23" t="s">
        <v>316</v>
      </c>
      <c r="B15" s="29"/>
      <c r="C15" s="29"/>
      <c r="D15" s="29"/>
      <c r="E15" s="29"/>
      <c r="F15" s="29"/>
      <c r="G15" s="29"/>
      <c r="H15" s="11"/>
    </row>
    <row r="16" spans="1:8" x14ac:dyDescent="0.2">
      <c r="A16" s="35" t="s">
        <v>1</v>
      </c>
      <c r="B16" s="31" t="s">
        <v>23</v>
      </c>
      <c r="C16" s="31" t="s">
        <v>81</v>
      </c>
      <c r="D16" s="31" t="s">
        <v>313</v>
      </c>
      <c r="E16" s="31" t="s">
        <v>314</v>
      </c>
      <c r="F16" s="31" t="s">
        <v>260</v>
      </c>
      <c r="G16" s="31" t="s">
        <v>315</v>
      </c>
      <c r="H16" s="11"/>
    </row>
    <row r="17" spans="1:8" x14ac:dyDescent="0.2">
      <c r="A17" s="34" t="s">
        <v>14</v>
      </c>
      <c r="B17" s="28">
        <f>COUNTIFS(tblCasDeTest[Type],$A17,tblCasDeTest[Statut],B$16)</f>
        <v>6</v>
      </c>
      <c r="C17" s="28">
        <f>COUNTIFS(tblCasDeTest[Type],$A17,tblCasDeTest[Statut],C$16)</f>
        <v>0</v>
      </c>
      <c r="D17" s="28">
        <f>COUNTIFS(tblCasDeTest[Type],$A17,tblCasDeTest[Statut],D$16)</f>
        <v>0</v>
      </c>
      <c r="E17" s="28">
        <f>COUNTIFS(tblCasDeTest[Type],$A17,tblCasDeTest[Statut],E$16)</f>
        <v>0</v>
      </c>
      <c r="F17" s="28">
        <f>COUNTIF(tblCasDeTest[Type],$A17)</f>
        <v>6</v>
      </c>
      <c r="G17" s="30">
        <f>IFERROR(B17/F17,0)</f>
        <v>1</v>
      </c>
      <c r="H17" s="11"/>
    </row>
    <row r="18" spans="1:8" x14ac:dyDescent="0.2">
      <c r="A18" s="34" t="s">
        <v>73</v>
      </c>
      <c r="B18" s="28">
        <f>COUNTIFS(tblCasDeTest[Type],$A18,tblCasDeTest[Statut],B$16)</f>
        <v>3</v>
      </c>
      <c r="C18" s="28">
        <f>COUNTIFS(tblCasDeTest[Type],$A18,tblCasDeTest[Statut],C$16)</f>
        <v>3</v>
      </c>
      <c r="D18" s="28">
        <f>COUNTIFS(tblCasDeTest[Type],$A18,tblCasDeTest[Statut],D$16)</f>
        <v>0</v>
      </c>
      <c r="E18" s="28">
        <f>COUNTIFS(tblCasDeTest[Type],$A18,tblCasDeTest[Statut],E$16)</f>
        <v>0</v>
      </c>
      <c r="F18" s="28">
        <f>COUNTIF(tblCasDeTest[Type],$A18)</f>
        <v>6</v>
      </c>
      <c r="G18" s="30">
        <f>IFERROR(B18/F18,0)</f>
        <v>0.5</v>
      </c>
      <c r="H18" s="11"/>
    </row>
    <row r="19" spans="1:8" x14ac:dyDescent="0.2">
      <c r="A19" s="34" t="s">
        <v>130</v>
      </c>
      <c r="B19" s="28">
        <f>COUNTIFS(tblCasDeTest[Type],$A19,tblCasDeTest[Statut],B$16)</f>
        <v>5</v>
      </c>
      <c r="C19" s="28">
        <f>COUNTIFS(tblCasDeTest[Type],$A19,tblCasDeTest[Statut],C$16)</f>
        <v>1</v>
      </c>
      <c r="D19" s="28">
        <f>COUNTIFS(tblCasDeTest[Type],$A19,tblCasDeTest[Statut],D$16)</f>
        <v>0</v>
      </c>
      <c r="E19" s="28">
        <f>COUNTIFS(tblCasDeTest[Type],$A19,tblCasDeTest[Statut],E$16)</f>
        <v>0</v>
      </c>
      <c r="F19" s="28">
        <f>COUNTIF(tblCasDeTest[Type],$A19)</f>
        <v>6</v>
      </c>
      <c r="G19" s="30">
        <f>IFERROR(B19/F19,0)</f>
        <v>0.83333333333333337</v>
      </c>
      <c r="H19" s="11"/>
    </row>
    <row r="20" spans="1:8" x14ac:dyDescent="0.2">
      <c r="A20" s="34" t="s">
        <v>183</v>
      </c>
      <c r="B20" s="28">
        <f>COUNTIFS(tblCasDeTest[Type],$A20,tblCasDeTest[Statut],B$16)</f>
        <v>1</v>
      </c>
      <c r="C20" s="28">
        <f>COUNTIFS(tblCasDeTest[Type],$A20,tblCasDeTest[Statut],C$16)</f>
        <v>5</v>
      </c>
      <c r="D20" s="28">
        <f>COUNTIFS(tblCasDeTest[Type],$A20,tblCasDeTest[Statut],D$16)</f>
        <v>0</v>
      </c>
      <c r="E20" s="28">
        <f>COUNTIFS(tblCasDeTest[Type],$A20,tblCasDeTest[Statut],E$16)</f>
        <v>0</v>
      </c>
      <c r="F20" s="28">
        <f>COUNTIF(tblCasDeTest[Type],$A20)</f>
        <v>6</v>
      </c>
      <c r="G20" s="30">
        <f>IFERROR(B20/F20,0)</f>
        <v>0.16666666666666666</v>
      </c>
      <c r="H20" s="11"/>
    </row>
    <row r="21" spans="1:8" x14ac:dyDescent="0.2">
      <c r="A21" s="36" t="s">
        <v>260</v>
      </c>
      <c r="B21" s="32">
        <f>SUM(B17:B20)</f>
        <v>15</v>
      </c>
      <c r="C21" s="32">
        <f>SUM(C17:C20)</f>
        <v>9</v>
      </c>
      <c r="D21" s="32">
        <f>SUM(D17:D20)</f>
        <v>0</v>
      </c>
      <c r="E21" s="32">
        <f>SUM(E17:E20)</f>
        <v>0</v>
      </c>
      <c r="F21" s="32">
        <f>SUM(F17:F20)</f>
        <v>24</v>
      </c>
      <c r="G21" s="33">
        <f>IFERROR(B21/F21,0)</f>
        <v>0.625</v>
      </c>
      <c r="H21" s="11"/>
    </row>
    <row r="22" spans="1:8" x14ac:dyDescent="0.2">
      <c r="A22" s="37"/>
      <c r="B22" s="29"/>
      <c r="C22" s="29"/>
      <c r="D22" s="29"/>
      <c r="E22" s="29"/>
      <c r="F22" s="29"/>
      <c r="G22" s="29"/>
      <c r="H22" s="11"/>
    </row>
    <row r="23" spans="1:8" ht="19" x14ac:dyDescent="0.25">
      <c r="A23" s="38" t="s">
        <v>317</v>
      </c>
      <c r="B23" s="29"/>
      <c r="C23" s="29"/>
      <c r="D23" s="29"/>
      <c r="E23" s="29"/>
      <c r="F23" s="29"/>
      <c r="G23" s="29"/>
      <c r="H23" s="11"/>
    </row>
    <row r="24" spans="1:8" x14ac:dyDescent="0.2">
      <c r="A24" s="35" t="s">
        <v>2</v>
      </c>
      <c r="B24" s="31" t="s">
        <v>23</v>
      </c>
      <c r="C24" s="31" t="s">
        <v>81</v>
      </c>
      <c r="D24" s="31" t="s">
        <v>313</v>
      </c>
      <c r="E24" s="31" t="s">
        <v>314</v>
      </c>
      <c r="F24" s="31" t="s">
        <v>260</v>
      </c>
      <c r="G24" s="31" t="s">
        <v>315</v>
      </c>
      <c r="H24" s="11"/>
    </row>
    <row r="25" spans="1:8" x14ac:dyDescent="0.2">
      <c r="A25" s="34" t="s">
        <v>203</v>
      </c>
      <c r="B25" s="28">
        <f>COUNTIFS(tblCasDeTest[Priorité],$A25,tblCasDeTest[Statut],B$24)</f>
        <v>0</v>
      </c>
      <c r="C25" s="28">
        <f>COUNTIFS(tblCasDeTest[Priorité],$A25,tblCasDeTest[Statut],C$24)</f>
        <v>1</v>
      </c>
      <c r="D25" s="28">
        <f>COUNTIFS(tblCasDeTest[Priorité],$A25,tblCasDeTest[Statut],D$24)</f>
        <v>0</v>
      </c>
      <c r="E25" s="28">
        <f>COUNTIFS(tblCasDeTest[Priorité],$A25,tblCasDeTest[Statut],E$24)</f>
        <v>0</v>
      </c>
      <c r="F25" s="28">
        <f>COUNTIF(tblCasDeTest[Priorité],$A25)</f>
        <v>1</v>
      </c>
      <c r="G25" s="30">
        <f>IFERROR(B25/F25,0)</f>
        <v>0</v>
      </c>
      <c r="H25" s="11"/>
    </row>
    <row r="26" spans="1:8" x14ac:dyDescent="0.2">
      <c r="A26" s="34" t="s">
        <v>15</v>
      </c>
      <c r="B26" s="28">
        <f>COUNTIFS(tblCasDeTest[Priorité],$A26,tblCasDeTest[Statut],B$24)</f>
        <v>11</v>
      </c>
      <c r="C26" s="28">
        <f>COUNTIFS(tblCasDeTest[Priorité],$A26,tblCasDeTest[Statut],C$24)</f>
        <v>7</v>
      </c>
      <c r="D26" s="28">
        <f>COUNTIFS(tblCasDeTest[Priorité],$A26,tblCasDeTest[Statut],D$24)</f>
        <v>0</v>
      </c>
      <c r="E26" s="28">
        <f>COUNTIFS(tblCasDeTest[Priorité],$A26,tblCasDeTest[Statut],E$24)</f>
        <v>0</v>
      </c>
      <c r="F26" s="28">
        <f>COUNTIF(tblCasDeTest[Priorité],$A26)</f>
        <v>18</v>
      </c>
      <c r="G26" s="30">
        <f>IFERROR(B26/F26,0)</f>
        <v>0.61111111111111116</v>
      </c>
      <c r="H26" s="11"/>
    </row>
    <row r="27" spans="1:8" x14ac:dyDescent="0.2">
      <c r="A27" s="34" t="s">
        <v>63</v>
      </c>
      <c r="B27" s="28">
        <f>COUNTIFS(tblCasDeTest[Priorité],$A27,tblCasDeTest[Statut],B$24)</f>
        <v>4</v>
      </c>
      <c r="C27" s="28">
        <f>COUNTIFS(tblCasDeTest[Priorité],$A27,tblCasDeTest[Statut],C$24)</f>
        <v>1</v>
      </c>
      <c r="D27" s="28">
        <f>COUNTIFS(tblCasDeTest[Priorité],$A27,tblCasDeTest[Statut],D$24)</f>
        <v>0</v>
      </c>
      <c r="E27" s="28">
        <f>COUNTIFS(tblCasDeTest[Priorité],$A27,tblCasDeTest[Statut],E$24)</f>
        <v>0</v>
      </c>
      <c r="F27" s="28">
        <f>COUNTIF(tblCasDeTest[Priorité],$A27)</f>
        <v>5</v>
      </c>
      <c r="G27" s="30">
        <f>IFERROR(B27/F27,0)</f>
        <v>0.8</v>
      </c>
      <c r="H27" s="11"/>
    </row>
    <row r="28" spans="1:8" x14ac:dyDescent="0.2">
      <c r="A28" s="36" t="s">
        <v>260</v>
      </c>
      <c r="B28" s="32">
        <f>SUM(B25:B27)</f>
        <v>15</v>
      </c>
      <c r="C28" s="32">
        <f>SUM(C25:C27)</f>
        <v>9</v>
      </c>
      <c r="D28" s="32">
        <f>SUM(D25:D27)</f>
        <v>0</v>
      </c>
      <c r="E28" s="32">
        <f>SUM(E25:E27)</f>
        <v>0</v>
      </c>
      <c r="F28" s="32">
        <f>SUM(F25:F27)</f>
        <v>24</v>
      </c>
      <c r="G28" s="33">
        <f>IFERROR(B28/F28,0)</f>
        <v>0.625</v>
      </c>
      <c r="H28" s="11"/>
    </row>
    <row r="29" spans="1:8" x14ac:dyDescent="0.2">
      <c r="A29" s="11"/>
      <c r="B29" s="11"/>
      <c r="C29" s="11"/>
      <c r="D29" s="11"/>
      <c r="E29" s="11"/>
      <c r="F29" s="11"/>
      <c r="G29" s="11"/>
      <c r="H29" s="11"/>
    </row>
    <row r="30" spans="1:8" x14ac:dyDescent="0.2">
      <c r="A30" s="11"/>
    </row>
    <row r="31" spans="1:8" ht="50" customHeight="1" x14ac:dyDescent="0.2"/>
  </sheetData>
  <pageMargins left="0.7" right="0.7" top="0.75" bottom="0.75" header="0.3" footer="0.3"/>
  <pageSetup paperSize="0" fitToHeight="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2A2D-37FD-8A4B-94E5-8BAF529DF9AD}">
  <sheetPr>
    <pageSetUpPr fitToPage="1"/>
  </sheetPr>
  <dimension ref="A1:M25"/>
  <sheetViews>
    <sheetView workbookViewId="0">
      <pane xSplit="1" ySplit="1" topLeftCell="B1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6" x14ac:dyDescent="0.2"/>
  <cols>
    <col min="1" max="1" width="8.33203125" customWidth="1"/>
    <col min="2" max="2" width="12.1640625" customWidth="1"/>
    <col min="3" max="3" width="9.33203125" customWidth="1"/>
    <col min="4" max="4" width="37.33203125" customWidth="1"/>
    <col min="5" max="7" width="32.6640625" customWidth="1"/>
    <col min="8" max="10" width="51.33203125" customWidth="1"/>
    <col min="11" max="12" width="9.33203125" customWidth="1"/>
    <col min="13" max="13" width="42" customWidth="1"/>
  </cols>
  <sheetData>
    <row r="1" spans="1:13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</row>
    <row r="2" spans="1:13" ht="48" x14ac:dyDescent="0.2">
      <c r="A2" s="9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3" t="s">
        <v>25</v>
      </c>
    </row>
    <row r="3" spans="1:13" ht="64" x14ac:dyDescent="0.2">
      <c r="A3" s="9" t="s">
        <v>26</v>
      </c>
      <c r="B3" s="2" t="s">
        <v>14</v>
      </c>
      <c r="C3" s="2" t="s">
        <v>15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24</v>
      </c>
      <c r="M3" s="3" t="s">
        <v>34</v>
      </c>
    </row>
    <row r="4" spans="1:13" ht="80" x14ac:dyDescent="0.2">
      <c r="A4" s="9" t="s">
        <v>35</v>
      </c>
      <c r="B4" s="2" t="s">
        <v>14</v>
      </c>
      <c r="C4" s="2" t="s">
        <v>15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24</v>
      </c>
      <c r="M4" s="3" t="s">
        <v>43</v>
      </c>
    </row>
    <row r="5" spans="1:13" ht="48" x14ac:dyDescent="0.2">
      <c r="A5" s="9" t="s">
        <v>44</v>
      </c>
      <c r="B5" s="2" t="s">
        <v>14</v>
      </c>
      <c r="C5" s="2" t="s">
        <v>15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24</v>
      </c>
      <c r="M5" s="3" t="s">
        <v>52</v>
      </c>
    </row>
    <row r="6" spans="1:13" ht="32" x14ac:dyDescent="0.2">
      <c r="A6" s="9" t="s">
        <v>53</v>
      </c>
      <c r="B6" s="2" t="s">
        <v>14</v>
      </c>
      <c r="C6" s="2" t="s">
        <v>15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24</v>
      </c>
      <c r="M6" s="3" t="s">
        <v>61</v>
      </c>
    </row>
    <row r="7" spans="1:13" ht="48" x14ac:dyDescent="0.2">
      <c r="A7" s="9" t="s">
        <v>62</v>
      </c>
      <c r="B7" s="2" t="s">
        <v>14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23</v>
      </c>
      <c r="L7" s="2" t="s">
        <v>24</v>
      </c>
      <c r="M7" s="3" t="s">
        <v>71</v>
      </c>
    </row>
    <row r="8" spans="1:13" ht="48" x14ac:dyDescent="0.2">
      <c r="A8" s="9" t="s">
        <v>72</v>
      </c>
      <c r="B8" s="2" t="s">
        <v>73</v>
      </c>
      <c r="C8" s="2" t="s">
        <v>15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3" t="s">
        <v>83</v>
      </c>
    </row>
    <row r="9" spans="1:13" ht="32" x14ac:dyDescent="0.2">
      <c r="A9" s="9" t="s">
        <v>84</v>
      </c>
      <c r="B9" s="2" t="s">
        <v>73</v>
      </c>
      <c r="C9" s="2" t="s">
        <v>15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23</v>
      </c>
      <c r="L9" s="2" t="s">
        <v>24</v>
      </c>
      <c r="M9" s="3" t="s">
        <v>92</v>
      </c>
    </row>
    <row r="10" spans="1:13" ht="32" x14ac:dyDescent="0.2">
      <c r="A10" s="9" t="s">
        <v>93</v>
      </c>
      <c r="B10" s="2" t="s">
        <v>73</v>
      </c>
      <c r="C10" s="2" t="s">
        <v>15</v>
      </c>
      <c r="D10" s="2" t="s">
        <v>94</v>
      </c>
      <c r="E10" s="2" t="s">
        <v>95</v>
      </c>
      <c r="F10" s="2" t="s">
        <v>87</v>
      </c>
      <c r="G10" s="2" t="s">
        <v>96</v>
      </c>
      <c r="H10" s="2" t="s">
        <v>89</v>
      </c>
      <c r="I10" s="2" t="s">
        <v>97</v>
      </c>
      <c r="J10" s="2" t="s">
        <v>98</v>
      </c>
      <c r="K10" s="2" t="s">
        <v>23</v>
      </c>
      <c r="L10" s="2" t="s">
        <v>24</v>
      </c>
      <c r="M10" s="3" t="s">
        <v>99</v>
      </c>
    </row>
    <row r="11" spans="1:13" ht="32" x14ac:dyDescent="0.2">
      <c r="A11" s="9" t="s">
        <v>100</v>
      </c>
      <c r="B11" s="2" t="s">
        <v>73</v>
      </c>
      <c r="C11" s="2" t="s">
        <v>63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106</v>
      </c>
      <c r="J11" s="2" t="s">
        <v>107</v>
      </c>
      <c r="K11" s="2" t="s">
        <v>23</v>
      </c>
      <c r="L11" s="2" t="s">
        <v>24</v>
      </c>
      <c r="M11" s="3" t="s">
        <v>108</v>
      </c>
    </row>
    <row r="12" spans="1:13" ht="64" x14ac:dyDescent="0.2">
      <c r="A12" s="9" t="s">
        <v>109</v>
      </c>
      <c r="B12" s="2" t="s">
        <v>73</v>
      </c>
      <c r="C12" s="2" t="s">
        <v>15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81</v>
      </c>
      <c r="L12" s="2" t="s">
        <v>117</v>
      </c>
      <c r="M12" s="3" t="s">
        <v>118</v>
      </c>
    </row>
    <row r="13" spans="1:13" ht="48" x14ac:dyDescent="0.2">
      <c r="A13" s="9" t="s">
        <v>119</v>
      </c>
      <c r="B13" s="2" t="s">
        <v>73</v>
      </c>
      <c r="C13" s="2" t="s">
        <v>15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  <c r="K13" s="2" t="s">
        <v>81</v>
      </c>
      <c r="L13" s="2" t="s">
        <v>127</v>
      </c>
      <c r="M13" s="3" t="s">
        <v>128</v>
      </c>
    </row>
    <row r="14" spans="1:13" x14ac:dyDescent="0.2">
      <c r="A14" s="9" t="s">
        <v>129</v>
      </c>
      <c r="B14" s="2" t="s">
        <v>130</v>
      </c>
      <c r="C14" s="2" t="s">
        <v>15</v>
      </c>
      <c r="D14" s="2" t="s">
        <v>131</v>
      </c>
      <c r="E14" s="2" t="s">
        <v>132</v>
      </c>
      <c r="F14" s="2" t="s">
        <v>76</v>
      </c>
      <c r="G14" s="2" t="s">
        <v>133</v>
      </c>
      <c r="H14" s="2" t="s">
        <v>134</v>
      </c>
      <c r="I14" s="2" t="s">
        <v>135</v>
      </c>
      <c r="J14" s="2" t="s">
        <v>136</v>
      </c>
      <c r="K14" s="2" t="s">
        <v>23</v>
      </c>
      <c r="L14" s="2" t="s">
        <v>24</v>
      </c>
      <c r="M14" s="3" t="s">
        <v>137</v>
      </c>
    </row>
    <row r="15" spans="1:13" ht="32" x14ac:dyDescent="0.2">
      <c r="A15" s="9" t="s">
        <v>138</v>
      </c>
      <c r="B15" s="2" t="s">
        <v>130</v>
      </c>
      <c r="C15" s="2" t="s">
        <v>63</v>
      </c>
      <c r="D15" s="2" t="s">
        <v>139</v>
      </c>
      <c r="E15" s="2" t="s">
        <v>140</v>
      </c>
      <c r="F15" s="2" t="s">
        <v>87</v>
      </c>
      <c r="G15" s="2" t="s">
        <v>141</v>
      </c>
      <c r="H15" s="2" t="s">
        <v>142</v>
      </c>
      <c r="I15" s="2" t="s">
        <v>143</v>
      </c>
      <c r="J15" s="2" t="s">
        <v>144</v>
      </c>
      <c r="K15" s="2" t="s">
        <v>81</v>
      </c>
      <c r="L15" s="2" t="s">
        <v>145</v>
      </c>
      <c r="M15" s="3" t="s">
        <v>146</v>
      </c>
    </row>
    <row r="16" spans="1:13" ht="32" x14ac:dyDescent="0.2">
      <c r="A16" s="9" t="s">
        <v>147</v>
      </c>
      <c r="B16" s="2" t="s">
        <v>130</v>
      </c>
      <c r="C16" s="2" t="s">
        <v>15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 t="s">
        <v>153</v>
      </c>
      <c r="J16" s="2" t="s">
        <v>154</v>
      </c>
      <c r="K16" s="2" t="s">
        <v>23</v>
      </c>
      <c r="L16" s="2" t="s">
        <v>24</v>
      </c>
      <c r="M16" s="3" t="s">
        <v>155</v>
      </c>
    </row>
    <row r="17" spans="1:13" ht="32" x14ac:dyDescent="0.2">
      <c r="A17" s="9" t="s">
        <v>156</v>
      </c>
      <c r="B17" s="2" t="s">
        <v>130</v>
      </c>
      <c r="C17" s="2" t="s">
        <v>15</v>
      </c>
      <c r="D17" s="2" t="s">
        <v>157</v>
      </c>
      <c r="E17" s="2" t="s">
        <v>158</v>
      </c>
      <c r="F17" s="2" t="s">
        <v>159</v>
      </c>
      <c r="G17" s="2" t="s">
        <v>160</v>
      </c>
      <c r="H17" s="2" t="s">
        <v>161</v>
      </c>
      <c r="I17" s="2" t="s">
        <v>162</v>
      </c>
      <c r="J17" s="2" t="s">
        <v>163</v>
      </c>
      <c r="K17" s="2" t="s">
        <v>23</v>
      </c>
      <c r="L17" s="2" t="s">
        <v>24</v>
      </c>
      <c r="M17" s="3" t="s">
        <v>164</v>
      </c>
    </row>
    <row r="18" spans="1:13" ht="32" x14ac:dyDescent="0.2">
      <c r="A18" s="9" t="s">
        <v>165</v>
      </c>
      <c r="B18" s="2" t="s">
        <v>130</v>
      </c>
      <c r="C18" s="2" t="s">
        <v>15</v>
      </c>
      <c r="D18" s="2" t="s">
        <v>166</v>
      </c>
      <c r="E18" s="2" t="s">
        <v>167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 t="s">
        <v>23</v>
      </c>
      <c r="L18" s="2" t="s">
        <v>24</v>
      </c>
      <c r="M18" s="3" t="s">
        <v>173</v>
      </c>
    </row>
    <row r="19" spans="1:13" ht="32" x14ac:dyDescent="0.2">
      <c r="A19" s="9" t="s">
        <v>174</v>
      </c>
      <c r="B19" s="2" t="s">
        <v>130</v>
      </c>
      <c r="C19" s="2" t="s">
        <v>63</v>
      </c>
      <c r="D19" s="2" t="s">
        <v>175</v>
      </c>
      <c r="E19" s="2" t="s">
        <v>176</v>
      </c>
      <c r="F19" s="2" t="s">
        <v>177</v>
      </c>
      <c r="G19" s="2" t="s">
        <v>76</v>
      </c>
      <c r="H19" s="2" t="s">
        <v>178</v>
      </c>
      <c r="I19" s="2" t="s">
        <v>179</v>
      </c>
      <c r="J19" s="2" t="s">
        <v>180</v>
      </c>
      <c r="K19" s="2" t="s">
        <v>23</v>
      </c>
      <c r="L19" s="2" t="s">
        <v>24</v>
      </c>
      <c r="M19" s="3" t="s">
        <v>181</v>
      </c>
    </row>
    <row r="20" spans="1:13" ht="48" x14ac:dyDescent="0.2">
      <c r="A20" s="9" t="s">
        <v>182</v>
      </c>
      <c r="B20" s="2" t="s">
        <v>183</v>
      </c>
      <c r="C20" s="2" t="s">
        <v>15</v>
      </c>
      <c r="D20" s="2" t="s">
        <v>184</v>
      </c>
      <c r="E20" s="2" t="s">
        <v>185</v>
      </c>
      <c r="F20" s="2" t="s">
        <v>186</v>
      </c>
      <c r="G20" s="2" t="s">
        <v>187</v>
      </c>
      <c r="H20" s="2" t="s">
        <v>188</v>
      </c>
      <c r="I20" s="2" t="s">
        <v>189</v>
      </c>
      <c r="J20" s="2" t="s">
        <v>190</v>
      </c>
      <c r="K20" s="2" t="s">
        <v>81</v>
      </c>
      <c r="L20" s="2" t="s">
        <v>191</v>
      </c>
      <c r="M20" s="3" t="s">
        <v>192</v>
      </c>
    </row>
    <row r="21" spans="1:13" ht="48" x14ac:dyDescent="0.2">
      <c r="A21" s="9" t="s">
        <v>193</v>
      </c>
      <c r="B21" s="2" t="s">
        <v>183</v>
      </c>
      <c r="C21" s="2" t="s">
        <v>15</v>
      </c>
      <c r="D21" s="2" t="s">
        <v>194</v>
      </c>
      <c r="E21" s="2" t="s">
        <v>195</v>
      </c>
      <c r="F21" s="2" t="s">
        <v>66</v>
      </c>
      <c r="G21" s="2" t="s">
        <v>196</v>
      </c>
      <c r="H21" s="2" t="s">
        <v>197</v>
      </c>
      <c r="I21" s="2" t="s">
        <v>198</v>
      </c>
      <c r="J21" s="2" t="s">
        <v>199</v>
      </c>
      <c r="K21" s="2" t="s">
        <v>81</v>
      </c>
      <c r="L21" s="2" t="s">
        <v>200</v>
      </c>
      <c r="M21" s="3" t="s">
        <v>201</v>
      </c>
    </row>
    <row r="22" spans="1:13" ht="48" x14ac:dyDescent="0.2">
      <c r="A22" s="9" t="s">
        <v>202</v>
      </c>
      <c r="B22" s="2" t="s">
        <v>183</v>
      </c>
      <c r="C22" s="2" t="s">
        <v>203</v>
      </c>
      <c r="D22" s="2" t="s">
        <v>204</v>
      </c>
      <c r="E22" s="2" t="s">
        <v>205</v>
      </c>
      <c r="F22" s="2" t="s">
        <v>206</v>
      </c>
      <c r="G22" s="2" t="s">
        <v>207</v>
      </c>
      <c r="H22" s="2" t="s">
        <v>208</v>
      </c>
      <c r="I22" s="2" t="s">
        <v>209</v>
      </c>
      <c r="J22" s="2" t="s">
        <v>210</v>
      </c>
      <c r="K22" s="2" t="s">
        <v>81</v>
      </c>
      <c r="L22" s="2" t="s">
        <v>211</v>
      </c>
      <c r="M22" s="3" t="s">
        <v>212</v>
      </c>
    </row>
    <row r="23" spans="1:13" ht="48" x14ac:dyDescent="0.2">
      <c r="A23" s="9" t="s">
        <v>213</v>
      </c>
      <c r="B23" s="2" t="s">
        <v>183</v>
      </c>
      <c r="C23" s="2" t="s">
        <v>15</v>
      </c>
      <c r="D23" s="2" t="s">
        <v>214</v>
      </c>
      <c r="E23" s="2" t="s">
        <v>215</v>
      </c>
      <c r="F23" s="2" t="s">
        <v>216</v>
      </c>
      <c r="G23" s="2" t="s">
        <v>217</v>
      </c>
      <c r="H23" s="2" t="s">
        <v>218</v>
      </c>
      <c r="I23" s="2" t="s">
        <v>219</v>
      </c>
      <c r="J23" s="2" t="s">
        <v>220</v>
      </c>
      <c r="K23" s="2" t="s">
        <v>81</v>
      </c>
      <c r="L23" s="2" t="s">
        <v>221</v>
      </c>
      <c r="M23" s="3" t="s">
        <v>222</v>
      </c>
    </row>
    <row r="24" spans="1:13" ht="32" x14ac:dyDescent="0.2">
      <c r="A24" s="9" t="s">
        <v>223</v>
      </c>
      <c r="B24" s="2" t="s">
        <v>183</v>
      </c>
      <c r="C24" s="2" t="s">
        <v>63</v>
      </c>
      <c r="D24" s="2" t="s">
        <v>224</v>
      </c>
      <c r="E24" s="2" t="s">
        <v>225</v>
      </c>
      <c r="F24" s="2" t="s">
        <v>226</v>
      </c>
      <c r="G24" s="2" t="s">
        <v>227</v>
      </c>
      <c r="H24" s="2" t="s">
        <v>228</v>
      </c>
      <c r="I24" s="2" t="s">
        <v>229</v>
      </c>
      <c r="J24" s="2" t="s">
        <v>230</v>
      </c>
      <c r="K24" s="2" t="s">
        <v>23</v>
      </c>
      <c r="L24" s="2" t="s">
        <v>24</v>
      </c>
      <c r="M24" s="3" t="s">
        <v>231</v>
      </c>
    </row>
    <row r="25" spans="1:13" ht="48" x14ac:dyDescent="0.2">
      <c r="A25" s="10" t="s">
        <v>232</v>
      </c>
      <c r="B25" s="4" t="s">
        <v>183</v>
      </c>
      <c r="C25" s="4" t="s">
        <v>15</v>
      </c>
      <c r="D25" s="4" t="s">
        <v>233</v>
      </c>
      <c r="E25" s="4" t="s">
        <v>234</v>
      </c>
      <c r="F25" s="4" t="s">
        <v>235</v>
      </c>
      <c r="G25" s="4" t="s">
        <v>236</v>
      </c>
      <c r="H25" s="4" t="s">
        <v>237</v>
      </c>
      <c r="I25" s="4" t="s">
        <v>238</v>
      </c>
      <c r="J25" s="4" t="s">
        <v>239</v>
      </c>
      <c r="K25" s="4" t="s">
        <v>81</v>
      </c>
      <c r="L25" s="4" t="s">
        <v>240</v>
      </c>
      <c r="M25" s="5" t="s">
        <v>241</v>
      </c>
    </row>
  </sheetData>
  <conditionalFormatting sqref="K2:K25">
    <cfRule type="cellIs" dxfId="13" priority="1" operator="equal">
      <formula>"Pass"</formula>
    </cfRule>
  </conditionalFormatting>
  <conditionalFormatting sqref="K2:K25">
    <cfRule type="cellIs" dxfId="12" priority="2" operator="equal">
      <formula>"Fail"</formula>
    </cfRule>
  </conditionalFormatting>
  <conditionalFormatting sqref="K2:K25">
    <cfRule type="cellIs" dxfId="11" priority="3" operator="equal">
      <formula>"Blocked"</formula>
    </cfRule>
  </conditionalFormatting>
  <conditionalFormatting sqref="K2:K25">
    <cfRule type="cellIs" dxfId="10" priority="4" operator="equal">
      <formula>"Skipped"</formula>
    </cfRule>
  </conditionalFormatting>
  <conditionalFormatting sqref="C2:C25">
    <cfRule type="cellIs" dxfId="9" priority="5" operator="equal">
      <formula>"Critique"</formula>
    </cfRule>
  </conditionalFormatting>
  <conditionalFormatting sqref="C2:C25">
    <cfRule type="cellIs" dxfId="8" priority="6" operator="equal">
      <formula>"Haute"</formula>
    </cfRule>
  </conditionalFormatting>
  <conditionalFormatting sqref="C2:C25">
    <cfRule type="cellIs" dxfId="7" priority="7" operator="equal">
      <formula>"Moyenne"</formula>
    </cfRule>
  </conditionalFormatting>
  <dataValidations count="2">
    <dataValidation type="list" allowBlank="1" showInputMessage="1" showErrorMessage="1" sqref="K2:K25" xr:uid="{025555E9-9849-734A-A850-B7263EC64705}">
      <formula1>"Pass,Fail,Blocked,Skipped"</formula1>
    </dataValidation>
    <dataValidation type="list" allowBlank="1" showInputMessage="1" showErrorMessage="1" sqref="B2:B25" xr:uid="{9D746F7F-7AB4-0040-BB40-136ED1B861E6}">
      <formula1>"Nominal,Limite,Erreur,Règle métier"</formula1>
    </dataValidation>
  </dataValidations>
  <pageMargins left="0.7" right="0.7" top="0.75" bottom="0.75" header="0.3" footer="0.3"/>
  <pageSetup paperSize="0" scale="30" fitToHeight="0" orientation="landscape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C54-D98D-7547-B741-9F66BE6A625F}">
  <sheetPr>
    <pageSetUpPr fitToPage="1"/>
  </sheetPr>
  <dimension ref="A1:G19"/>
  <sheetViews>
    <sheetView tabSelected="1" workbookViewId="0">
      <pane ySplit="1" topLeftCell="A2" activePane="bottomLeft" state="frozen"/>
      <selection pane="bottomLeft" activeCell="E22" sqref="E22"/>
    </sheetView>
  </sheetViews>
  <sheetFormatPr baseColWidth="10" defaultRowHeight="16" x14ac:dyDescent="0.2"/>
  <cols>
    <col min="1" max="1" width="9.33203125" customWidth="1"/>
    <col min="2" max="2" width="56" customWidth="1"/>
    <col min="3" max="3" width="11.1640625" customWidth="1"/>
    <col min="4" max="5" width="9.33203125" customWidth="1"/>
    <col min="6" max="6" width="16.83203125" customWidth="1"/>
    <col min="7" max="7" width="13" customWidth="1"/>
  </cols>
  <sheetData>
    <row r="1" spans="1:7" x14ac:dyDescent="0.2">
      <c r="A1" s="18" t="s">
        <v>0</v>
      </c>
      <c r="B1" s="19" t="s">
        <v>3</v>
      </c>
      <c r="C1" s="19" t="s">
        <v>242</v>
      </c>
      <c r="D1" s="19" t="s">
        <v>2</v>
      </c>
      <c r="E1" s="19" t="s">
        <v>243</v>
      </c>
      <c r="F1" s="19" t="s">
        <v>244</v>
      </c>
      <c r="G1" s="20" t="s">
        <v>10</v>
      </c>
    </row>
    <row r="2" spans="1:7" x14ac:dyDescent="0.2">
      <c r="A2" s="12" t="s">
        <v>211</v>
      </c>
      <c r="B2" s="13" t="s">
        <v>245</v>
      </c>
      <c r="C2" s="13" t="s">
        <v>203</v>
      </c>
      <c r="D2" s="13" t="s">
        <v>246</v>
      </c>
      <c r="E2" s="13" t="s">
        <v>202</v>
      </c>
      <c r="F2" s="21">
        <f>COUNTIFS(tblCasDeTest[Bug lié],tblAnomalies[[#This Row],[ID]],tblCasDeTest[Statut],"Fail")</f>
        <v>1</v>
      </c>
      <c r="G2" s="14" t="s">
        <v>257</v>
      </c>
    </row>
    <row r="3" spans="1:7" x14ac:dyDescent="0.2">
      <c r="A3" s="12" t="s">
        <v>200</v>
      </c>
      <c r="B3" s="13" t="s">
        <v>247</v>
      </c>
      <c r="C3" s="13" t="s">
        <v>248</v>
      </c>
      <c r="D3" s="13" t="s">
        <v>246</v>
      </c>
      <c r="E3" s="13" t="s">
        <v>193</v>
      </c>
      <c r="F3" s="21">
        <f>COUNTIFS(tblCasDeTest[Bug lié],tblAnomalies[[#This Row],[ID]],tblCasDeTest[Statut],"Fail")</f>
        <v>1</v>
      </c>
      <c r="G3" s="14" t="s">
        <v>257</v>
      </c>
    </row>
    <row r="4" spans="1:7" x14ac:dyDescent="0.2">
      <c r="A4" s="12" t="s">
        <v>191</v>
      </c>
      <c r="B4" s="13" t="s">
        <v>249</v>
      </c>
      <c r="C4" s="13" t="s">
        <v>248</v>
      </c>
      <c r="D4" s="13" t="s">
        <v>246</v>
      </c>
      <c r="E4" s="13" t="s">
        <v>182</v>
      </c>
      <c r="F4" s="21">
        <f>COUNTIFS(tblCasDeTest[Bug lié],tblAnomalies[[#This Row],[ID]],tblCasDeTest[Statut],"Fail")</f>
        <v>1</v>
      </c>
      <c r="G4" s="14" t="s">
        <v>257</v>
      </c>
    </row>
    <row r="5" spans="1:7" ht="32" x14ac:dyDescent="0.2">
      <c r="A5" s="12" t="s">
        <v>117</v>
      </c>
      <c r="B5" s="13" t="s">
        <v>250</v>
      </c>
      <c r="C5" s="13" t="s">
        <v>248</v>
      </c>
      <c r="D5" s="13" t="s">
        <v>246</v>
      </c>
      <c r="E5" s="13" t="s">
        <v>109</v>
      </c>
      <c r="F5" s="21">
        <f>COUNTIFS(tblCasDeTest[Bug lié],tblAnomalies[[#This Row],[ID]],tblCasDeTest[Statut],"Fail")</f>
        <v>1</v>
      </c>
      <c r="G5" s="14" t="s">
        <v>257</v>
      </c>
    </row>
    <row r="6" spans="1:7" ht="32" x14ac:dyDescent="0.2">
      <c r="A6" s="12" t="s">
        <v>240</v>
      </c>
      <c r="B6" s="13" t="s">
        <v>251</v>
      </c>
      <c r="C6" s="13" t="s">
        <v>248</v>
      </c>
      <c r="D6" s="13" t="s">
        <v>246</v>
      </c>
      <c r="E6" s="13" t="s">
        <v>232</v>
      </c>
      <c r="F6" s="21">
        <f>COUNTIFS(tblCasDeTest[Bug lié],tblAnomalies[[#This Row],[ID]],tblCasDeTest[Statut],"Fail")</f>
        <v>1</v>
      </c>
      <c r="G6" s="14" t="s">
        <v>257</v>
      </c>
    </row>
    <row r="7" spans="1:7" x14ac:dyDescent="0.2">
      <c r="A7" s="12" t="s">
        <v>127</v>
      </c>
      <c r="B7" s="13" t="s">
        <v>252</v>
      </c>
      <c r="C7" s="13" t="s">
        <v>248</v>
      </c>
      <c r="D7" s="13" t="s">
        <v>253</v>
      </c>
      <c r="E7" s="13" t="s">
        <v>119</v>
      </c>
      <c r="F7" s="21">
        <f>COUNTIFS(tblCasDeTest[Bug lié],tblAnomalies[[#This Row],[ID]],tblCasDeTest[Statut],"Fail")</f>
        <v>1</v>
      </c>
      <c r="G7" s="14" t="s">
        <v>257</v>
      </c>
    </row>
    <row r="8" spans="1:7" x14ac:dyDescent="0.2">
      <c r="A8" s="12" t="s">
        <v>82</v>
      </c>
      <c r="B8" s="13" t="s">
        <v>254</v>
      </c>
      <c r="C8" s="13" t="s">
        <v>248</v>
      </c>
      <c r="D8" s="13" t="s">
        <v>253</v>
      </c>
      <c r="E8" s="13" t="s">
        <v>72</v>
      </c>
      <c r="F8" s="21">
        <f>COUNTIFS(tblCasDeTest[Bug lié],tblAnomalies[[#This Row],[ID]],tblCasDeTest[Statut],"Fail")</f>
        <v>1</v>
      </c>
      <c r="G8" s="14" t="s">
        <v>257</v>
      </c>
    </row>
    <row r="9" spans="1:7" x14ac:dyDescent="0.2">
      <c r="A9" s="12" t="s">
        <v>221</v>
      </c>
      <c r="B9" s="13" t="s">
        <v>255</v>
      </c>
      <c r="C9" s="13" t="s">
        <v>248</v>
      </c>
      <c r="D9" s="13" t="s">
        <v>253</v>
      </c>
      <c r="E9" s="13" t="s">
        <v>213</v>
      </c>
      <c r="F9" s="21">
        <f>COUNTIFS(tblCasDeTest[Bug lié],tblAnomalies[[#This Row],[ID]],tblCasDeTest[Statut],"Fail")</f>
        <v>1</v>
      </c>
      <c r="G9" s="14" t="s">
        <v>257</v>
      </c>
    </row>
    <row r="10" spans="1:7" x14ac:dyDescent="0.2">
      <c r="A10" s="15" t="s">
        <v>145</v>
      </c>
      <c r="B10" s="16" t="s">
        <v>256</v>
      </c>
      <c r="C10" s="16" t="s">
        <v>63</v>
      </c>
      <c r="D10" s="16" t="s">
        <v>253</v>
      </c>
      <c r="E10" s="16" t="s">
        <v>138</v>
      </c>
      <c r="F10" s="22">
        <f>COUNTIFS(tblCasDeTest[Bug lié],tblAnomalies[[#This Row],[ID]],tblCasDeTest[Statut],"Fail")</f>
        <v>1</v>
      </c>
      <c r="G10" s="17" t="s">
        <v>257</v>
      </c>
    </row>
    <row r="11" spans="1:7" x14ac:dyDescent="0.2">
      <c r="A11" s="11"/>
      <c r="B11" s="11"/>
      <c r="C11" s="11"/>
      <c r="D11" s="11"/>
      <c r="E11" s="11"/>
      <c r="F11" s="11"/>
      <c r="G11" s="11"/>
    </row>
    <row r="12" spans="1:7" ht="19" x14ac:dyDescent="0.25">
      <c r="A12" s="23" t="s">
        <v>258</v>
      </c>
      <c r="B12" s="11"/>
      <c r="C12" s="11"/>
      <c r="D12" s="11"/>
      <c r="E12" s="11"/>
      <c r="F12" s="11"/>
      <c r="G12" s="11"/>
    </row>
    <row r="13" spans="1:7" x14ac:dyDescent="0.2">
      <c r="A13" s="25" t="s">
        <v>242</v>
      </c>
      <c r="B13" s="25" t="s">
        <v>259</v>
      </c>
      <c r="C13" s="11"/>
      <c r="D13" s="25" t="s">
        <v>2</v>
      </c>
      <c r="E13" s="25" t="s">
        <v>259</v>
      </c>
      <c r="F13" s="11"/>
      <c r="G13" s="11"/>
    </row>
    <row r="14" spans="1:7" x14ac:dyDescent="0.2">
      <c r="A14" s="24" t="s">
        <v>203</v>
      </c>
      <c r="B14" s="24">
        <f>COUNTIF(tblAnomalies[Sévérité],A14)</f>
        <v>1</v>
      </c>
      <c r="C14" s="11"/>
      <c r="D14" s="24" t="s">
        <v>246</v>
      </c>
      <c r="E14" s="24">
        <f>COUNTIF(tblAnomalies[Priorité],D14)</f>
        <v>5</v>
      </c>
      <c r="F14" s="11"/>
      <c r="G14" s="11"/>
    </row>
    <row r="15" spans="1:7" x14ac:dyDescent="0.2">
      <c r="A15" s="24" t="s">
        <v>248</v>
      </c>
      <c r="B15" s="24">
        <f>COUNTIF(tblAnomalies[Sévérité],A15)</f>
        <v>7</v>
      </c>
      <c r="C15" s="11"/>
      <c r="D15" s="24" t="s">
        <v>253</v>
      </c>
      <c r="E15" s="24">
        <f>COUNTIF(tblAnomalies[Priorité],D15)</f>
        <v>4</v>
      </c>
      <c r="F15" s="11"/>
      <c r="G15" s="11"/>
    </row>
    <row r="16" spans="1:7" x14ac:dyDescent="0.2">
      <c r="A16" s="24" t="s">
        <v>63</v>
      </c>
      <c r="B16" s="24">
        <f>COUNTIF(tblAnomalies[Sévérité],A16)</f>
        <v>1</v>
      </c>
      <c r="C16" s="11"/>
      <c r="D16" s="26" t="s">
        <v>260</v>
      </c>
      <c r="E16" s="26">
        <f>SUM(E14:E15)</f>
        <v>9</v>
      </c>
      <c r="F16" s="11"/>
      <c r="G16" s="11"/>
    </row>
    <row r="17" spans="1:7" x14ac:dyDescent="0.2">
      <c r="A17" s="26" t="s">
        <v>260</v>
      </c>
      <c r="B17" s="26">
        <f>SUM(B14:B16)</f>
        <v>9</v>
      </c>
      <c r="C17" s="11"/>
      <c r="D17" s="11"/>
      <c r="E17" s="11"/>
      <c r="F17" s="11"/>
      <c r="G17" s="11"/>
    </row>
    <row r="18" spans="1:7" x14ac:dyDescent="0.2">
      <c r="A18" s="11"/>
      <c r="B18" s="11"/>
      <c r="C18" s="11"/>
      <c r="D18" s="11"/>
      <c r="E18" s="11"/>
      <c r="F18" s="11"/>
      <c r="G18" s="11"/>
    </row>
    <row r="19" spans="1:7" x14ac:dyDescent="0.2">
      <c r="A19" s="11"/>
      <c r="B19" s="11"/>
      <c r="C19" s="11"/>
      <c r="D19" s="11"/>
      <c r="E19" s="11"/>
      <c r="F19" s="11"/>
      <c r="G19" s="11"/>
    </row>
  </sheetData>
  <conditionalFormatting sqref="C2:C10">
    <cfRule type="cellIs" dxfId="6" priority="1" operator="equal">
      <formula>"Critique"</formula>
    </cfRule>
  </conditionalFormatting>
  <conditionalFormatting sqref="C2:C10">
    <cfRule type="cellIs" dxfId="5" priority="2" operator="equal">
      <formula>"Majeure"</formula>
    </cfRule>
  </conditionalFormatting>
  <conditionalFormatting sqref="C2:C10">
    <cfRule type="cellIs" dxfId="4" priority="3" operator="equal">
      <formula>"Moyenne"</formula>
    </cfRule>
  </conditionalFormatting>
  <dataValidations count="1">
    <dataValidation type="list" allowBlank="1" showInputMessage="1" showErrorMessage="1" sqref="G2:G10" xr:uid="{42601F38-3939-F947-8F60-655AABED420B}">
      <formula1>"Ouvert,En correction,Corrigé,Revalidé,Fermé"</formula1>
    </dataValidation>
  </dataValidations>
  <pageMargins left="0.7" right="0.7" top="0.75" bottom="0.75" header="0.3" footer="0.3"/>
  <pageSetup paperSize="0" fitToHeight="0" orientation="landscape" horizontalDpi="0" verticalDpi="0" copie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ED7D-2898-9A41-B9E9-39B607873742}">
  <sheetPr>
    <pageSetUpPr fitToPage="1"/>
  </sheetPr>
  <dimension ref="A1:G1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2.1640625" customWidth="1"/>
    <col min="2" max="2" width="56" customWidth="1"/>
    <col min="3" max="3" width="20.5" customWidth="1"/>
    <col min="4" max="4" width="13" customWidth="1"/>
    <col min="5" max="5" width="20.5" customWidth="1"/>
  </cols>
  <sheetData>
    <row r="1" spans="1:7" x14ac:dyDescent="0.2">
      <c r="A1" s="18" t="s">
        <v>261</v>
      </c>
      <c r="B1" s="19" t="s">
        <v>262</v>
      </c>
      <c r="C1" s="19" t="s">
        <v>263</v>
      </c>
      <c r="D1" s="19" t="s">
        <v>264</v>
      </c>
      <c r="E1" s="20" t="s">
        <v>11</v>
      </c>
      <c r="F1" s="11"/>
      <c r="G1" s="11"/>
    </row>
    <row r="2" spans="1:7" x14ac:dyDescent="0.2">
      <c r="A2" s="12" t="s">
        <v>265</v>
      </c>
      <c r="B2" s="13" t="s">
        <v>266</v>
      </c>
      <c r="C2" s="13" t="s">
        <v>267</v>
      </c>
      <c r="D2" s="13" t="str" cm="1">
        <f t="array" ref="D2">IF(SUMPRODUCT(ISNUMBER(SEARCH(tblCasDeTest[ID],tblTracabilite[[#This Row],[Cas de test]]))*(tblCasDeTest[Statut]="Fail"))&gt;0,"Fail","Pass")</f>
        <v>Pass</v>
      </c>
      <c r="E2" s="14" t="str" cm="1">
        <f t="array" ref="E2">_xlfn.TEXTJOIN(", ",TRUE,IF(ISNUMBER(SEARCH(tblCasDeTest[ID],tblTracabilite[[#This Row],[Cas de test]]))*(tblCasDeTest[Statut]="Fail"),tblCasDeTest[Bug lié]&amp;"",""))</f>
        <v/>
      </c>
      <c r="F2" s="11"/>
      <c r="G2" s="11"/>
    </row>
    <row r="3" spans="1:7" x14ac:dyDescent="0.2">
      <c r="A3" s="12" t="s">
        <v>268</v>
      </c>
      <c r="B3" s="13" t="s">
        <v>269</v>
      </c>
      <c r="C3" s="13" t="s">
        <v>26</v>
      </c>
      <c r="D3" s="13" t="str" cm="1">
        <f t="array" ref="D3">IF(SUMPRODUCT(ISNUMBER(SEARCH(tblCasDeTest[ID],tblTracabilite[[#This Row],[Cas de test]]))*(tblCasDeTest[Statut]="Fail"))&gt;0,"Fail","Pass")</f>
        <v>Pass</v>
      </c>
      <c r="E3" s="14" t="str" cm="1">
        <f t="array" ref="E3">_xlfn.TEXTJOIN(", ",TRUE,IF(ISNUMBER(SEARCH(tblCasDeTest[ID],tblTracabilite[[#This Row],[Cas de test]]))*(tblCasDeTest[Statut]="Fail"),tblCasDeTest[Bug lié]&amp;"",""))</f>
        <v/>
      </c>
      <c r="F3" s="11"/>
      <c r="G3" s="11"/>
    </row>
    <row r="4" spans="1:7" x14ac:dyDescent="0.2">
      <c r="A4" s="12" t="s">
        <v>270</v>
      </c>
      <c r="B4" s="13" t="s">
        <v>271</v>
      </c>
      <c r="C4" s="13" t="s">
        <v>272</v>
      </c>
      <c r="D4" s="13" t="str" cm="1">
        <f t="array" ref="D4">IF(SUMPRODUCT(ISNUMBER(SEARCH(tblCasDeTest[ID],tblTracabilite[[#This Row],[Cas de test]]))*(tblCasDeTest[Statut]="Fail"))&gt;0,"Fail","Pass")</f>
        <v>Pass</v>
      </c>
      <c r="E4" s="14" t="str" cm="1">
        <f t="array" ref="E4">_xlfn.TEXTJOIN(", ",TRUE,IF(ISNUMBER(SEARCH(tblCasDeTest[ID],tblTracabilite[[#This Row],[Cas de test]]))*(tblCasDeTest[Statut]="Fail"),tblCasDeTest[Bug lié]&amp;"",""))</f>
        <v/>
      </c>
      <c r="F4" s="11"/>
      <c r="G4" s="11"/>
    </row>
    <row r="5" spans="1:7" x14ac:dyDescent="0.2">
      <c r="A5" s="12" t="s">
        <v>273</v>
      </c>
      <c r="B5" s="13" t="s">
        <v>274</v>
      </c>
      <c r="C5" s="13" t="s">
        <v>44</v>
      </c>
      <c r="D5" s="13" t="str" cm="1">
        <f t="array" ref="D5">IF(SUMPRODUCT(ISNUMBER(SEARCH(tblCasDeTest[ID],tblTracabilite[[#This Row],[Cas de test]]))*(tblCasDeTest[Statut]="Fail"))&gt;0,"Fail","Pass")</f>
        <v>Pass</v>
      </c>
      <c r="E5" s="14" t="str" cm="1">
        <f t="array" ref="E5">_xlfn.TEXTJOIN(", ",TRUE,IF(ISNUMBER(SEARCH(tblCasDeTest[ID],tblTracabilite[[#This Row],[Cas de test]]))*(tblCasDeTest[Statut]="Fail"),tblCasDeTest[Bug lié]&amp;"",""))</f>
        <v/>
      </c>
      <c r="F5" s="11"/>
      <c r="G5" s="11"/>
    </row>
    <row r="6" spans="1:7" x14ac:dyDescent="0.2">
      <c r="A6" s="12" t="s">
        <v>275</v>
      </c>
      <c r="B6" s="13" t="s">
        <v>276</v>
      </c>
      <c r="C6" s="13" t="s">
        <v>277</v>
      </c>
      <c r="D6" s="13" t="str" cm="1">
        <f t="array" ref="D6">IF(SUMPRODUCT(ISNUMBER(SEARCH(tblCasDeTest[ID],tblTracabilite[[#This Row],[Cas de test]]))*(tblCasDeTest[Statut]="Fail"))&gt;0,"Fail","Pass")</f>
        <v>Fail</v>
      </c>
      <c r="E6" s="14" t="str" cm="1">
        <f t="array" ref="E6">_xlfn.TEXTJOIN(", ",TRUE,IF(ISNUMBER(SEARCH(tblCasDeTest[ID],tblTracabilite[[#This Row],[Cas de test]]))*(tblCasDeTest[Statut]="Fail"),tblCasDeTest[Bug lié]&amp;"",""))</f>
        <v>BUG-02</v>
      </c>
      <c r="F6" s="11"/>
      <c r="G6" s="11"/>
    </row>
    <row r="7" spans="1:7" x14ac:dyDescent="0.2">
      <c r="A7" s="12" t="s">
        <v>278</v>
      </c>
      <c r="B7" s="13" t="s">
        <v>279</v>
      </c>
      <c r="C7" s="13" t="s">
        <v>72</v>
      </c>
      <c r="D7" s="13" t="str" cm="1">
        <f t="array" ref="D7">IF(SUMPRODUCT(ISNUMBER(SEARCH(tblCasDeTest[ID],tblTracabilite[[#This Row],[Cas de test]]))*(tblCasDeTest[Statut]="Fail"))&gt;0,"Fail","Pass")</f>
        <v>Fail</v>
      </c>
      <c r="E7" s="14" t="str" cm="1">
        <f t="array" ref="E7">_xlfn.TEXTJOIN(", ",TRUE,IF(ISNUMBER(SEARCH(tblCasDeTest[ID],tblTracabilite[[#This Row],[Cas de test]]))*(tblCasDeTest[Statut]="Fail"),tblCasDeTest[Bug lié]&amp;"",""))</f>
        <v>BUG-07</v>
      </c>
      <c r="F7" s="11"/>
      <c r="G7" s="11"/>
    </row>
    <row r="8" spans="1:7" x14ac:dyDescent="0.2">
      <c r="A8" s="12" t="s">
        <v>280</v>
      </c>
      <c r="B8" s="13" t="s">
        <v>281</v>
      </c>
      <c r="C8" s="13" t="s">
        <v>282</v>
      </c>
      <c r="D8" s="13" t="str" cm="1">
        <f t="array" ref="D8">IF(SUMPRODUCT(ISNUMBER(SEARCH(tblCasDeTest[ID],tblTracabilite[[#This Row],[Cas de test]]))*(tblCasDeTest[Statut]="Fail"))&gt;0,"Fail","Pass")</f>
        <v>Pass</v>
      </c>
      <c r="E8" s="14" t="str" cm="1">
        <f t="array" ref="E8">_xlfn.TEXTJOIN(", ",TRUE,IF(ISNUMBER(SEARCH(tblCasDeTest[ID],tblTracabilite[[#This Row],[Cas de test]]))*(tblCasDeTest[Statut]="Fail"),tblCasDeTest[Bug lié]&amp;"",""))</f>
        <v/>
      </c>
      <c r="F8" s="11"/>
      <c r="G8" s="11"/>
    </row>
    <row r="9" spans="1:7" x14ac:dyDescent="0.2">
      <c r="A9" s="12" t="s">
        <v>283</v>
      </c>
      <c r="B9" s="13" t="s">
        <v>284</v>
      </c>
      <c r="C9" s="13" t="s">
        <v>213</v>
      </c>
      <c r="D9" s="13" t="str" cm="1">
        <f t="array" ref="D9">IF(SUMPRODUCT(ISNUMBER(SEARCH(tblCasDeTest[ID],tblTracabilite[[#This Row],[Cas de test]]))*(tblCasDeTest[Statut]="Fail"))&gt;0,"Fail","Pass")</f>
        <v>Fail</v>
      </c>
      <c r="E9" s="14" t="str" cm="1">
        <f t="array" ref="E9">_xlfn.TEXTJOIN(", ",TRUE,IF(ISNUMBER(SEARCH(tblCasDeTest[ID],tblTracabilite[[#This Row],[Cas de test]]))*(tblCasDeTest[Statut]="Fail"),tblCasDeTest[Bug lié]&amp;"",""))</f>
        <v>BUG-08</v>
      </c>
      <c r="F9" s="11"/>
      <c r="G9" s="11"/>
    </row>
    <row r="10" spans="1:7" x14ac:dyDescent="0.2">
      <c r="A10" s="12" t="s">
        <v>285</v>
      </c>
      <c r="B10" s="13" t="s">
        <v>286</v>
      </c>
      <c r="C10" s="13" t="s">
        <v>100</v>
      </c>
      <c r="D10" s="13" t="str" cm="1">
        <f t="array" ref="D10">IF(SUMPRODUCT(ISNUMBER(SEARCH(tblCasDeTest[ID],tblTracabilite[[#This Row],[Cas de test]]))*(tblCasDeTest[Statut]="Fail"))&gt;0,"Fail","Pass")</f>
        <v>Pass</v>
      </c>
      <c r="E10" s="14" t="str" cm="1">
        <f t="array" ref="E10">_xlfn.TEXTJOIN(", ",TRUE,IF(ISNUMBER(SEARCH(tblCasDeTest[ID],tblTracabilite[[#This Row],[Cas de test]]))*(tblCasDeTest[Statut]="Fail"),tblCasDeTest[Bug lié]&amp;"",""))</f>
        <v/>
      </c>
      <c r="F10" s="11"/>
      <c r="G10" s="11"/>
    </row>
    <row r="11" spans="1:7" x14ac:dyDescent="0.2">
      <c r="A11" s="12" t="s">
        <v>287</v>
      </c>
      <c r="B11" s="13" t="s">
        <v>288</v>
      </c>
      <c r="C11" s="13" t="s">
        <v>109</v>
      </c>
      <c r="D11" s="13" t="str" cm="1">
        <f t="array" ref="D11">IF(SUMPRODUCT(ISNUMBER(SEARCH(tblCasDeTest[ID],tblTracabilite[[#This Row],[Cas de test]]))*(tblCasDeTest[Statut]="Fail"))&gt;0,"Fail","Pass")</f>
        <v>Fail</v>
      </c>
      <c r="E11" s="14" t="str" cm="1">
        <f t="array" ref="E11">_xlfn.TEXTJOIN(", ",TRUE,IF(ISNUMBER(SEARCH(tblCasDeTest[ID],tblTracabilite[[#This Row],[Cas de test]]))*(tblCasDeTest[Statut]="Fail"),tblCasDeTest[Bug lié]&amp;"",""))</f>
        <v>BUG-04</v>
      </c>
      <c r="F11" s="11"/>
      <c r="G11" s="11"/>
    </row>
    <row r="12" spans="1:7" x14ac:dyDescent="0.2">
      <c r="A12" s="12" t="s">
        <v>289</v>
      </c>
      <c r="B12" s="13" t="s">
        <v>290</v>
      </c>
      <c r="C12" s="13" t="s">
        <v>119</v>
      </c>
      <c r="D12" s="13" t="str" cm="1">
        <f t="array" ref="D12">IF(SUMPRODUCT(ISNUMBER(SEARCH(tblCasDeTest[ID],tblTracabilite[[#This Row],[Cas de test]]))*(tblCasDeTest[Statut]="Fail"))&gt;0,"Fail","Pass")</f>
        <v>Fail</v>
      </c>
      <c r="E12" s="14" t="str" cm="1">
        <f t="array" ref="E12">_xlfn.TEXTJOIN(", ",TRUE,IF(ISNUMBER(SEARCH(tblCasDeTest[ID],tblTracabilite[[#This Row],[Cas de test]]))*(tblCasDeTest[Statut]="Fail"),tblCasDeTest[Bug lié]&amp;"",""))</f>
        <v>BUG-06</v>
      </c>
      <c r="F12" s="11"/>
      <c r="G12" s="11"/>
    </row>
    <row r="13" spans="1:7" x14ac:dyDescent="0.2">
      <c r="A13" s="12" t="s">
        <v>291</v>
      </c>
      <c r="B13" s="13" t="s">
        <v>292</v>
      </c>
      <c r="C13" s="13" t="s">
        <v>129</v>
      </c>
      <c r="D13" s="13" t="str" cm="1">
        <f t="array" ref="D13">IF(SUMPRODUCT(ISNUMBER(SEARCH(tblCasDeTest[ID],tblTracabilite[[#This Row],[Cas de test]]))*(tblCasDeTest[Statut]="Fail"))&gt;0,"Fail","Pass")</f>
        <v>Pass</v>
      </c>
      <c r="E13" s="14" t="str" cm="1">
        <f t="array" ref="E13">_xlfn.TEXTJOIN(", ",TRUE,IF(ISNUMBER(SEARCH(tblCasDeTest[ID],tblTracabilite[[#This Row],[Cas de test]]))*(tblCasDeTest[Statut]="Fail"),tblCasDeTest[Bug lié]&amp;"",""))</f>
        <v/>
      </c>
      <c r="F13" s="11"/>
      <c r="G13" s="11"/>
    </row>
    <row r="14" spans="1:7" x14ac:dyDescent="0.2">
      <c r="A14" s="12" t="s">
        <v>293</v>
      </c>
      <c r="B14" s="13" t="s">
        <v>294</v>
      </c>
      <c r="C14" s="13" t="s">
        <v>138</v>
      </c>
      <c r="D14" s="13" t="str" cm="1">
        <f t="array" ref="D14">IF(SUMPRODUCT(ISNUMBER(SEARCH(tblCasDeTest[ID],tblTracabilite[[#This Row],[Cas de test]]))*(tblCasDeTest[Statut]="Fail"))&gt;0,"Fail","Pass")</f>
        <v>Fail</v>
      </c>
      <c r="E14" s="14" t="str" cm="1">
        <f t="array" ref="E14">_xlfn.TEXTJOIN(", ",TRUE,IF(ISNUMBER(SEARCH(tblCasDeTest[ID],tblTracabilite[[#This Row],[Cas de test]]))*(tblCasDeTest[Statut]="Fail"),tblCasDeTest[Bug lié]&amp;"",""))</f>
        <v>BUG-09</v>
      </c>
      <c r="F14" s="11"/>
      <c r="G14" s="11"/>
    </row>
    <row r="15" spans="1:7" x14ac:dyDescent="0.2">
      <c r="A15" s="12" t="s">
        <v>295</v>
      </c>
      <c r="B15" s="13" t="s">
        <v>296</v>
      </c>
      <c r="C15" s="13" t="s">
        <v>165</v>
      </c>
      <c r="D15" s="13" t="str" cm="1">
        <f t="array" ref="D15">IF(SUMPRODUCT(ISNUMBER(SEARCH(tblCasDeTest[ID],tblTracabilite[[#This Row],[Cas de test]]))*(tblCasDeTest[Statut]="Fail"))&gt;0,"Fail","Pass")</f>
        <v>Pass</v>
      </c>
      <c r="E15" s="14" t="str" cm="1">
        <f t="array" ref="E15">_xlfn.TEXTJOIN(", ",TRUE,IF(ISNUMBER(SEARCH(tblCasDeTest[ID],tblTracabilite[[#This Row],[Cas de test]]))*(tblCasDeTest[Statut]="Fail"),tblCasDeTest[Bug lié]&amp;"",""))</f>
        <v/>
      </c>
      <c r="F15" s="11"/>
      <c r="G15" s="11"/>
    </row>
    <row r="16" spans="1:7" x14ac:dyDescent="0.2">
      <c r="A16" s="12" t="s">
        <v>297</v>
      </c>
      <c r="B16" s="13" t="s">
        <v>298</v>
      </c>
      <c r="C16" s="13" t="s">
        <v>299</v>
      </c>
      <c r="D16" s="13" t="str" cm="1">
        <f t="array" ref="D16">IF(SUMPRODUCT(ISNUMBER(SEARCH(tblCasDeTest[ID],tblTracabilite[[#This Row],[Cas de test]]))*(tblCasDeTest[Statut]="Fail"))&gt;0,"Fail","Pass")</f>
        <v>Pass</v>
      </c>
      <c r="E16" s="14" t="str" cm="1">
        <f t="array" ref="E16">_xlfn.TEXTJOIN(", ",TRUE,IF(ISNUMBER(SEARCH(tblCasDeTest[ID],tblTracabilite[[#This Row],[Cas de test]]))*(tblCasDeTest[Statut]="Fail"),tblCasDeTest[Bug lié]&amp;"",""))</f>
        <v/>
      </c>
      <c r="F16" s="11"/>
      <c r="G16" s="11"/>
    </row>
    <row r="17" spans="1:7" x14ac:dyDescent="0.2">
      <c r="A17" s="12" t="s">
        <v>300</v>
      </c>
      <c r="B17" s="13" t="s">
        <v>301</v>
      </c>
      <c r="C17" s="13" t="s">
        <v>182</v>
      </c>
      <c r="D17" s="13" t="str" cm="1">
        <f t="array" ref="D17">IF(SUMPRODUCT(ISNUMBER(SEARCH(tblCasDeTest[ID],tblTracabilite[[#This Row],[Cas de test]]))*(tblCasDeTest[Statut]="Fail"))&gt;0,"Fail","Pass")</f>
        <v>Fail</v>
      </c>
      <c r="E17" s="14" t="str" cm="1">
        <f t="array" ref="E17">_xlfn.TEXTJOIN(", ",TRUE,IF(ISNUMBER(SEARCH(tblCasDeTest[ID],tblTracabilite[[#This Row],[Cas de test]]))*(tblCasDeTest[Statut]="Fail"),tblCasDeTest[Bug lié]&amp;"",""))</f>
        <v>BUG-03</v>
      </c>
      <c r="F17" s="11"/>
      <c r="G17" s="11"/>
    </row>
    <row r="18" spans="1:7" x14ac:dyDescent="0.2">
      <c r="A18" s="12" t="s">
        <v>302</v>
      </c>
      <c r="B18" s="13" t="s">
        <v>303</v>
      </c>
      <c r="C18" s="13" t="s">
        <v>202</v>
      </c>
      <c r="D18" s="13" t="str" cm="1">
        <f t="array" ref="D18">IF(SUMPRODUCT(ISNUMBER(SEARCH(tblCasDeTest[ID],tblTracabilite[[#This Row],[Cas de test]]))*(tblCasDeTest[Statut]="Fail"))&gt;0,"Fail","Pass")</f>
        <v>Fail</v>
      </c>
      <c r="E18" s="14" t="str" cm="1">
        <f t="array" ref="E18">_xlfn.TEXTJOIN(", ",TRUE,IF(ISNUMBER(SEARCH(tblCasDeTest[ID],tblTracabilite[[#This Row],[Cas de test]]))*(tblCasDeTest[Statut]="Fail"),tblCasDeTest[Bug lié]&amp;"",""))</f>
        <v>BUG-01</v>
      </c>
      <c r="F18" s="11"/>
      <c r="G18" s="11"/>
    </row>
    <row r="19" spans="1:7" x14ac:dyDescent="0.2">
      <c r="A19" s="15" t="s">
        <v>304</v>
      </c>
      <c r="B19" s="16" t="s">
        <v>305</v>
      </c>
      <c r="C19" s="16" t="s">
        <v>232</v>
      </c>
      <c r="D19" s="16" t="str" cm="1">
        <f t="array" ref="D19">IF(SUMPRODUCT(ISNUMBER(SEARCH(tblCasDeTest[ID],tblTracabilite[[#This Row],[Cas de test]]))*(tblCasDeTest[Statut]="Fail"))&gt;0,"Fail","Pass")</f>
        <v>Fail</v>
      </c>
      <c r="E19" s="17" t="str" cm="1">
        <f t="array" ref="E19">_xlfn.TEXTJOIN(", ",TRUE,IF(ISNUMBER(SEARCH(tblCasDeTest[ID],tblTracabilite[[#This Row],[Cas de test]]))*(tblCasDeTest[Statut]="Fail"),tblCasDeTest[Bug lié]&amp;"",""))</f>
        <v>BUG-05</v>
      </c>
      <c r="F19" s="11"/>
      <c r="G19" s="11"/>
    </row>
  </sheetData>
  <conditionalFormatting sqref="D2:D19">
    <cfRule type="cellIs" dxfId="3" priority="1" operator="equal">
      <formula>"Pass"</formula>
    </cfRule>
  </conditionalFormatting>
  <conditionalFormatting sqref="D2:D19">
    <cfRule type="cellIs" dxfId="2" priority="2" operator="equal">
      <formula>"Fail"</formula>
    </cfRule>
  </conditionalFormatting>
  <conditionalFormatting sqref="D2:D19">
    <cfRule type="cellIs" dxfId="1" priority="3" operator="equal">
      <formula>"Blocked"</formula>
    </cfRule>
  </conditionalFormatting>
  <conditionalFormatting sqref="D2:D19">
    <cfRule type="cellIs" dxfId="0" priority="4" operator="equal">
      <formula>"Skipped"</formula>
    </cfRule>
  </conditionalFormatting>
  <pageMargins left="0.7" right="0.7" top="0.75" bottom="0.75" header="0.3" footer="0.3"/>
  <pageSetup paperSize="0" fitToHeight="0" orientation="landscape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Résumée</vt:lpstr>
      <vt:lpstr>Cas de test</vt:lpstr>
      <vt:lpstr>Anomalies</vt:lpstr>
      <vt:lpstr>Matrice de traçabilité</vt:lpstr>
      <vt:lpstr>'Cas de test'!Impression_des_titres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LAMBERT</dc:creator>
  <cp:lastModifiedBy>Paul LAMBERT</cp:lastModifiedBy>
  <dcterms:created xsi:type="dcterms:W3CDTF">2026-10-12T19:56:05Z</dcterms:created>
  <dcterms:modified xsi:type="dcterms:W3CDTF">2026-10-12T20:10:12Z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2026-10-12T20:00:13Z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4822e9cf-98be-40ce-b3fd-bc6b5e4bb463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50, 3, 0, 1</vt:lpwstr>
  </property>
</Properties>
</file>